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04"/>
  <workbookPr/>
  <mc:AlternateContent xmlns:mc="http://schemas.openxmlformats.org/markup-compatibility/2006">
    <mc:Choice Requires="x15">
      <x15ac:absPath xmlns:x15ac="http://schemas.microsoft.com/office/spreadsheetml/2010/11/ac" url="https://iotabio-my.sharepoint.com/personal/anand_dugad_iota_bio/Documents/Desktop/Anand/Personal/Time Pass/"/>
    </mc:Choice>
  </mc:AlternateContent>
  <xr:revisionPtr revIDLastSave="5709" documentId="11_F25DC773A252ABDACC1048CAD9DD6DC45ADE58E8" xr6:coauthVersionLast="47" xr6:coauthVersionMax="47" xr10:uidLastSave="{2A6092A0-B28D-41A6-A16C-E74642351AA8}"/>
  <bookViews>
    <workbookView xWindow="-120" yWindow="-120" windowWidth="29040" windowHeight="15720" firstSheet="2" activeTab="2" xr2:uid="{00000000-000D-0000-FFFF-FFFF00000000}"/>
  </bookViews>
  <sheets>
    <sheet name="Sheet1" sheetId="1" r:id="rId1"/>
    <sheet name="Fanz" sheetId="11" r:id="rId2"/>
    <sheet name="Teams" sheetId="6" r:id="rId3"/>
    <sheet name="Squads" sheetId="10" r:id="rId4"/>
    <sheet name="AR" sheetId="5" r:id="rId5"/>
    <sheet name="Bowlers" sheetId="3" r:id="rId6"/>
    <sheet name="Batsman" sheetId="2" r:id="rId7"/>
    <sheet name="WK" sheetId="4" r:id="rId8"/>
    <sheet name="ML Model Points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9" i="6" l="1"/>
  <c r="K41" i="6"/>
  <c r="K44" i="6"/>
  <c r="K40" i="6"/>
  <c r="K46" i="6"/>
  <c r="D6" i="6"/>
  <c r="D7" i="6"/>
  <c r="D8" i="6"/>
  <c r="D9" i="6"/>
  <c r="D10" i="6"/>
  <c r="D11" i="6"/>
  <c r="D12" i="6"/>
  <c r="D13" i="6"/>
  <c r="D14" i="6"/>
  <c r="D15" i="6"/>
  <c r="D16" i="6"/>
  <c r="D30" i="6" a="1"/>
  <c r="D30" i="6"/>
  <c r="D2" i="6"/>
  <c r="D3" i="6"/>
  <c r="D4" i="6"/>
  <c r="D5" i="6"/>
  <c r="D28" i="6" a="1"/>
  <c r="D28" i="6"/>
  <c r="D29" i="6"/>
  <c r="G6" i="6"/>
  <c r="G7" i="6"/>
  <c r="G8" i="6"/>
  <c r="G9" i="6"/>
  <c r="G10" i="6"/>
  <c r="G12" i="6"/>
  <c r="G13" i="6"/>
  <c r="G14" i="6"/>
  <c r="G30" i="6" a="1"/>
  <c r="G30" i="6"/>
  <c r="E41" i="6"/>
  <c r="E40" i="6"/>
  <c r="E39" i="6"/>
  <c r="E38" i="6"/>
  <c r="E37" i="6"/>
  <c r="E36" i="6"/>
  <c r="E35" i="6"/>
  <c r="E34" i="6"/>
  <c r="E33" i="6"/>
  <c r="E32" i="6"/>
  <c r="G41" i="6"/>
  <c r="G40" i="6"/>
  <c r="G39" i="6"/>
  <c r="G38" i="6"/>
  <c r="G37" i="6"/>
  <c r="G36" i="6"/>
  <c r="G35" i="6"/>
  <c r="G34" i="6"/>
  <c r="G33" i="6"/>
  <c r="G32" i="6"/>
  <c r="V2" i="6"/>
  <c r="V3" i="6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20" i="6"/>
  <c r="V21" i="6"/>
  <c r="V22" i="6"/>
  <c r="V23" i="6"/>
  <c r="V24" i="6"/>
  <c r="V25" i="6"/>
  <c r="V26" i="6"/>
  <c r="V27" i="6"/>
  <c r="V28" i="6" a="1"/>
  <c r="V28" i="6"/>
  <c r="B38" i="6"/>
  <c r="AB2" i="6"/>
  <c r="AB5" i="6"/>
  <c r="AB28" i="6"/>
  <c r="B40" i="6"/>
  <c r="Y2" i="6"/>
  <c r="Y3" i="6"/>
  <c r="Y4" i="6"/>
  <c r="Y5" i="6"/>
  <c r="Y6" i="6"/>
  <c r="Y7" i="6"/>
  <c r="Y8" i="6"/>
  <c r="Y9" i="6"/>
  <c r="Y10" i="6"/>
  <c r="Y11" i="6"/>
  <c r="Y28" i="6" a="1"/>
  <c r="Y28" i="6"/>
  <c r="B39" i="6"/>
  <c r="S2" i="6"/>
  <c r="S3" i="6"/>
  <c r="S4" i="6"/>
  <c r="S5" i="6"/>
  <c r="S6" i="6"/>
  <c r="S7" i="6"/>
  <c r="S8" i="6"/>
  <c r="S9" i="6"/>
  <c r="S10" i="6"/>
  <c r="S11" i="6"/>
  <c r="S12" i="6"/>
  <c r="S13" i="6"/>
  <c r="S14" i="6"/>
  <c r="S15" i="6"/>
  <c r="S28" i="6" a="1"/>
  <c r="S28" i="6"/>
  <c r="B37" i="6"/>
  <c r="P2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28" i="6" a="1"/>
  <c r="P28" i="6"/>
  <c r="B36" i="6"/>
  <c r="M2" i="6"/>
  <c r="M3" i="6"/>
  <c r="M4" i="6"/>
  <c r="M5" i="6"/>
  <c r="M6" i="6"/>
  <c r="M8" i="6"/>
  <c r="M9" i="6"/>
  <c r="M10" i="6"/>
  <c r="M11" i="6"/>
  <c r="M12" i="6"/>
  <c r="M13" i="6"/>
  <c r="M14" i="6"/>
  <c r="M15" i="6"/>
  <c r="M28" i="6" a="1"/>
  <c r="M28" i="6"/>
  <c r="B35" i="6"/>
  <c r="J2" i="6"/>
  <c r="J3" i="6"/>
  <c r="J4" i="6"/>
  <c r="J5" i="6"/>
  <c r="J6" i="6"/>
  <c r="J7" i="6"/>
  <c r="J8" i="6"/>
  <c r="J9" i="6"/>
  <c r="J10" i="6"/>
  <c r="J11" i="6"/>
  <c r="J12" i="6"/>
  <c r="J14" i="6"/>
  <c r="J28" i="6" a="1"/>
  <c r="J28" i="6"/>
  <c r="B34" i="6"/>
  <c r="G2" i="6"/>
  <c r="G3" i="6"/>
  <c r="G4" i="6"/>
  <c r="G5" i="6"/>
  <c r="G28" i="6" a="1"/>
  <c r="G28" i="6"/>
  <c r="B33" i="6"/>
  <c r="B32" i="6"/>
  <c r="P29" i="6"/>
  <c r="P30" i="6" a="1"/>
  <c r="P30" i="6"/>
  <c r="S29" i="6"/>
  <c r="S30" i="6" a="1"/>
  <c r="S30" i="6"/>
  <c r="V29" i="6"/>
  <c r="AB29" i="6"/>
  <c r="AA28" i="6"/>
  <c r="Y29" i="6"/>
  <c r="Y30" i="6" a="1"/>
  <c r="Y30" i="6"/>
  <c r="X30" i="6" a="1"/>
  <c r="X30" i="6"/>
  <c r="X28" i="6" a="1"/>
  <c r="X28" i="6"/>
  <c r="J30" i="6" a="1"/>
  <c r="J30" i="6"/>
  <c r="U28" i="6" a="1"/>
  <c r="U28" i="6"/>
  <c r="AA29" i="6"/>
  <c r="U30" i="6" a="1"/>
  <c r="U30" i="6"/>
  <c r="R30" i="6" a="1"/>
  <c r="R30" i="6"/>
  <c r="O30" i="6" a="1"/>
  <c r="O30" i="6"/>
  <c r="L30" i="6" a="1"/>
  <c r="L30" i="6"/>
  <c r="I30" i="6" a="1"/>
  <c r="I30" i="6"/>
  <c r="F30" i="6" a="1"/>
  <c r="F30" i="6"/>
  <c r="X29" i="6"/>
  <c r="U29" i="6"/>
  <c r="R29" i="6"/>
  <c r="O29" i="6"/>
  <c r="L29" i="6"/>
  <c r="I29" i="6"/>
  <c r="F29" i="6"/>
  <c r="C30" i="6" a="1"/>
  <c r="C30" i="6"/>
  <c r="C29" i="6"/>
  <c r="R28" i="6" a="1"/>
  <c r="R28" i="6"/>
  <c r="O28" i="6" a="1"/>
  <c r="O28" i="6"/>
  <c r="L28" i="6" a="1"/>
  <c r="L28" i="6"/>
  <c r="I28" i="6" a="1"/>
  <c r="I28" i="6"/>
  <c r="F28" i="6" a="1"/>
  <c r="F28" i="6"/>
  <c r="C28" i="6" a="1"/>
  <c r="C28" i="6"/>
  <c r="J31" i="2"/>
  <c r="K31" i="2"/>
  <c r="L31" i="2"/>
  <c r="M31" i="2"/>
  <c r="N31" i="2"/>
  <c r="O31" i="2"/>
  <c r="P31" i="2"/>
  <c r="I31" i="2"/>
  <c r="V30" i="6" a="1"/>
  <c r="V30" i="6"/>
  <c r="M29" i="6"/>
  <c r="M30" i="6" a="1"/>
  <c r="M30" i="6"/>
  <c r="J29" i="6"/>
  <c r="G29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<sst xmlns="http://schemas.openxmlformats.org/spreadsheetml/2006/main" count="1122" uniqueCount="307">
  <si>
    <t>AFG</t>
  </si>
  <si>
    <t>AUS</t>
  </si>
  <si>
    <t>BAN</t>
  </si>
  <si>
    <t>ENG</t>
  </si>
  <si>
    <t>IND</t>
  </si>
  <si>
    <t>NZ</t>
  </si>
  <si>
    <t>PAK</t>
  </si>
  <si>
    <t>SA</t>
  </si>
  <si>
    <t>Hashmatullah Shahidi (c)</t>
  </si>
  <si>
    <t>Steve Smith ©</t>
  </si>
  <si>
    <t>Najmul Hossain Shanto (c)</t>
  </si>
  <si>
    <t>Jos Buttler (c, wk)</t>
  </si>
  <si>
    <t>Rohit Sharma (c)</t>
  </si>
  <si>
    <t>Mitchell Santner (c)</t>
  </si>
  <si>
    <t>Mohammad Rizwan (c, wk)</t>
  </si>
  <si>
    <t>Temba Bavuma (c)</t>
  </si>
  <si>
    <t>Ibrahim Zadran</t>
  </si>
  <si>
    <t>Alex Carey (wk)</t>
  </si>
  <si>
    <t>Soumya Sarkar</t>
  </si>
  <si>
    <t>Jofra Archer</t>
  </si>
  <si>
    <t>Shubman Gill</t>
  </si>
  <si>
    <t>Michael Bracewell</t>
  </si>
  <si>
    <t>Salman Ali Agha (vc)</t>
  </si>
  <si>
    <t>Tony de Zorzi</t>
  </si>
  <si>
    <t>Rahmat Shah</t>
  </si>
  <si>
    <t>Nathan Ellis</t>
  </si>
  <si>
    <t>Tanzid Hasan</t>
  </si>
  <si>
    <t>Gus Atkinson</t>
  </si>
  <si>
    <t>Virat Kohli</t>
  </si>
  <si>
    <t>Mark Chapman</t>
  </si>
  <si>
    <t>Shaheen Afridi</t>
  </si>
  <si>
    <t>Marco Jansen</t>
  </si>
  <si>
    <t>Sediqullah Atal</t>
  </si>
  <si>
    <t>Aaron Hardie</t>
  </si>
  <si>
    <t>Mahmudullah</t>
  </si>
  <si>
    <t>Jacob Bethell</t>
  </si>
  <si>
    <t>Shreyas Iyer</t>
  </si>
  <si>
    <t>Devon Conway (wk)</t>
  </si>
  <si>
    <t>Abrar Ahmed</t>
  </si>
  <si>
    <t>Heinrich Klaasen</t>
  </si>
  <si>
    <t>Azmatullah Omarzai</t>
  </si>
  <si>
    <t>Travis Head</t>
  </si>
  <si>
    <t>Jaker Ali (wk)</t>
  </si>
  <si>
    <t>Harry Brook</t>
  </si>
  <si>
    <t>KL Rahul</t>
  </si>
  <si>
    <t>Lockie Ferguson</t>
  </si>
  <si>
    <t>Faheem Ashraf</t>
  </si>
  <si>
    <t>Keshav Maharaj</t>
  </si>
  <si>
    <t>Gulbadin Naib</t>
  </si>
  <si>
    <t>Josh Inglis (wk)</t>
  </si>
  <si>
    <t>Mushfiqur Rahim (wk)</t>
  </si>
  <si>
    <t>Brydon Carse</t>
  </si>
  <si>
    <t>Rishabh Pant</t>
  </si>
  <si>
    <t>Matt Henry</t>
  </si>
  <si>
    <t>Babar Azam</t>
  </si>
  <si>
    <t>Aiden Markram</t>
  </si>
  <si>
    <t>Mohammad Nabi</t>
  </si>
  <si>
    <t>Marnus Labuschagne</t>
  </si>
  <si>
    <t>Towhid Hridoy</t>
  </si>
  <si>
    <t>Ben Duckett</t>
  </si>
  <si>
    <t>Hardik Pandya</t>
  </si>
  <si>
    <t>Tom Latham (wk)</t>
  </si>
  <si>
    <t>Kamran Ghulam</t>
  </si>
  <si>
    <t>David Miller</t>
  </si>
  <si>
    <t>Ikram Alikhil (wk)</t>
  </si>
  <si>
    <t>Glenn Maxwell</t>
  </si>
  <si>
    <t>Mehidy Hasan Miraz</t>
  </si>
  <si>
    <t>Jamie Overton</t>
  </si>
  <si>
    <t>Axar Patel</t>
  </si>
  <si>
    <t>Daryl Mitchell</t>
  </si>
  <si>
    <t>Mohammad Hasnain</t>
  </si>
  <si>
    <t>Wiaan Mulder</t>
  </si>
  <si>
    <t>Rahmanullah Gurbaz (wk)</t>
  </si>
  <si>
    <t>Matthew Short</t>
  </si>
  <si>
    <t>Rishad Hossain</t>
  </si>
  <si>
    <t>Jamie Smith (wk)</t>
  </si>
  <si>
    <t>Washington Sundar</t>
  </si>
  <si>
    <t>Glenn Phillips</t>
  </si>
  <si>
    <t>Usman Khan</t>
  </si>
  <si>
    <t>Lungi Ngidi</t>
  </si>
  <si>
    <t>Nangeyalia Kharote</t>
  </si>
  <si>
    <t>Adam Zampa</t>
  </si>
  <si>
    <t>Taskin Ahmed</t>
  </si>
  <si>
    <t>Liam Livingstone</t>
  </si>
  <si>
    <t>Kuldeep Yadav</t>
  </si>
  <si>
    <t>Rachin Ravindra</t>
  </si>
  <si>
    <t>Haris Rauf</t>
  </si>
  <si>
    <t>Kagiso Rabada</t>
  </si>
  <si>
    <t>Fareed Ahmad</t>
  </si>
  <si>
    <t>Sean Abbott</t>
  </si>
  <si>
    <t>Mustafizur Rahman</t>
  </si>
  <si>
    <t>Adil Rashid</t>
  </si>
  <si>
    <t>Harshit Rana</t>
  </si>
  <si>
    <t>William O'Rourke</t>
  </si>
  <si>
    <t>Khushdil Shah</t>
  </si>
  <si>
    <t>Ryan Rickelton</t>
  </si>
  <si>
    <t>Fazalhaq Farooqi</t>
  </si>
  <si>
    <t>Ben Dwarshuis</t>
  </si>
  <si>
    <t>Parvez Hossain Emon (wk)</t>
  </si>
  <si>
    <t>Joe Root</t>
  </si>
  <si>
    <t>Mohammed Shami</t>
  </si>
  <si>
    <t>Ben Sears</t>
  </si>
  <si>
    <t>Naseem Shah</t>
  </si>
  <si>
    <t>Tabraiz Shamsi</t>
  </si>
  <si>
    <t>Naveed Zadran</t>
  </si>
  <si>
    <t>Jake Fraser-McGurk</t>
  </si>
  <si>
    <t>Tanzim Hasan Sakib</t>
  </si>
  <si>
    <t>Saqib Mahmood</t>
  </si>
  <si>
    <t>Arshdeep Singh</t>
  </si>
  <si>
    <t>Nathan Smith</t>
  </si>
  <si>
    <t>Saud Shakeel</t>
  </si>
  <si>
    <t>Tristan Stubbs</t>
  </si>
  <si>
    <t>Noor Ahmad</t>
  </si>
  <si>
    <t>Spencer Johnson</t>
  </si>
  <si>
    <t>Nahid Rana</t>
  </si>
  <si>
    <t>Phil Salt</t>
  </si>
  <si>
    <t>Ravindra Jadeja</t>
  </si>
  <si>
    <t>Kane Williamson</t>
  </si>
  <si>
    <t>Tayyab Tahir</t>
  </si>
  <si>
    <t>Rassie van der Dussen</t>
  </si>
  <si>
    <t>Rashid Khan</t>
  </si>
  <si>
    <t>Tanveer Sangha</t>
  </si>
  <si>
    <t>Nasum Ahmed</t>
  </si>
  <si>
    <t>Mark Wood</t>
  </si>
  <si>
    <t>Varun Chakaravarthy</t>
  </si>
  <si>
    <t>Will Young</t>
  </si>
  <si>
    <t>Fakhar Zaman</t>
  </si>
  <si>
    <t>Corbin Bosch</t>
  </si>
  <si>
    <t>BATTER</t>
  </si>
  <si>
    <t>BOWLER</t>
  </si>
  <si>
    <t>WK</t>
  </si>
  <si>
    <t>AR</t>
  </si>
  <si>
    <t>Player</t>
  </si>
  <si>
    <t>Team</t>
  </si>
  <si>
    <t>Price</t>
  </si>
  <si>
    <t>Point</t>
  </si>
  <si>
    <t>F Ashraf</t>
  </si>
  <si>
    <t>T Tahir</t>
  </si>
  <si>
    <t>K Shah</t>
  </si>
  <si>
    <t>I Haq</t>
  </si>
  <si>
    <t>U Khan</t>
  </si>
  <si>
    <t>S Shakeel</t>
  </si>
  <si>
    <t>M Hasnain</t>
  </si>
  <si>
    <t>K Ghulam</t>
  </si>
  <si>
    <t>A Salman</t>
  </si>
  <si>
    <t>A Ahmad</t>
  </si>
  <si>
    <t>H Rauf</t>
  </si>
  <si>
    <t>N Shah</t>
  </si>
  <si>
    <t>M Rizwan</t>
  </si>
  <si>
    <t>B Azam</t>
  </si>
  <si>
    <t>S Afridi</t>
  </si>
  <si>
    <t>W O Rourke</t>
  </si>
  <si>
    <t>W Young</t>
  </si>
  <si>
    <t>J Duffy</t>
  </si>
  <si>
    <t>K Jamieson</t>
  </si>
  <si>
    <t>N Smith</t>
  </si>
  <si>
    <t>M Chapman</t>
  </si>
  <si>
    <t>M Bracewell</t>
  </si>
  <si>
    <t>T Latham</t>
  </si>
  <si>
    <t>D Conway</t>
  </si>
  <si>
    <t>G Phillips</t>
  </si>
  <si>
    <t>R Ravindra</t>
  </si>
  <si>
    <t>M Henry</t>
  </si>
  <si>
    <t>M Santner</t>
  </si>
  <si>
    <t>D Mitchell</t>
  </si>
  <si>
    <t>K Williamson</t>
  </si>
  <si>
    <t>N Ahmed</t>
  </si>
  <si>
    <t>J Ali</t>
  </si>
  <si>
    <t>R Hossain</t>
  </si>
  <si>
    <t>N Rana</t>
  </si>
  <si>
    <t>P Hossain</t>
  </si>
  <si>
    <t>S Sarkar</t>
  </si>
  <si>
    <t>T Hridoy</t>
  </si>
  <si>
    <t>M Hasan</t>
  </si>
  <si>
    <t>Tanzim Hasan</t>
  </si>
  <si>
    <t>M Rahman</t>
  </si>
  <si>
    <t>N Hossain</t>
  </si>
  <si>
    <t>M Rahim</t>
  </si>
  <si>
    <t>T Ahmed</t>
  </si>
  <si>
    <t>I Alikhil</t>
  </si>
  <si>
    <t>S Atal</t>
  </si>
  <si>
    <t>F Ahmad</t>
  </si>
  <si>
    <t>N Zadran</t>
  </si>
  <si>
    <t>N Kharote</t>
  </si>
  <si>
    <t>R Shah</t>
  </si>
  <si>
    <t>H Shahidi</t>
  </si>
  <si>
    <t>N Ahmad</t>
  </si>
  <si>
    <t>M Nabi</t>
  </si>
  <si>
    <t>F Farooqi</t>
  </si>
  <si>
    <t>I Zadran</t>
  </si>
  <si>
    <t>R Gurbaz</t>
  </si>
  <si>
    <t>A Omarzai</t>
  </si>
  <si>
    <t>G Naib</t>
  </si>
  <si>
    <t>R Khan</t>
  </si>
  <si>
    <t>W Sundar</t>
  </si>
  <si>
    <t>H Rana</t>
  </si>
  <si>
    <t>V Chakravarthy</t>
  </si>
  <si>
    <t>A Singh</t>
  </si>
  <si>
    <t>M Shami</t>
  </si>
  <si>
    <t>S Iyer</t>
  </si>
  <si>
    <t>S Gill</t>
  </si>
  <si>
    <t>K Yadav</t>
  </si>
  <si>
    <t>A Patel</t>
  </si>
  <si>
    <t>R Pant</t>
  </si>
  <si>
    <t>R Jadeja</t>
  </si>
  <si>
    <t>H Pandya</t>
  </si>
  <si>
    <t>R Sharma</t>
  </si>
  <si>
    <t>V Kohli</t>
  </si>
  <si>
    <t>T de Zorzi</t>
  </si>
  <si>
    <t>RSA</t>
  </si>
  <si>
    <t>W Mulder</t>
  </si>
  <si>
    <t>C Bosch</t>
  </si>
  <si>
    <t>R Rickelton</t>
  </si>
  <si>
    <t>T Shamsi</t>
  </si>
  <si>
    <t>T Stubbs</t>
  </si>
  <si>
    <t>L Ngidi</t>
  </si>
  <si>
    <t>D Miller</t>
  </si>
  <si>
    <t>R v d Dussen</t>
  </si>
  <si>
    <t>H Klaasen</t>
  </si>
  <si>
    <t>T Bavuma</t>
  </si>
  <si>
    <t>K Maharaj</t>
  </si>
  <si>
    <t>M Jansen</t>
  </si>
  <si>
    <t>A Markram</t>
  </si>
  <si>
    <t>K Rabada</t>
  </si>
  <si>
    <t>S Johnson</t>
  </si>
  <si>
    <t>T Sangha</t>
  </si>
  <si>
    <t>M Short</t>
  </si>
  <si>
    <t>A Hardie</t>
  </si>
  <si>
    <t>J F McGurk</t>
  </si>
  <si>
    <t>S Abbott</t>
  </si>
  <si>
    <t>B Dwarshuis</t>
  </si>
  <si>
    <t>A Zampa</t>
  </si>
  <si>
    <t>A Carey</t>
  </si>
  <si>
    <t>J Inglis</t>
  </si>
  <si>
    <t>T Head</t>
  </si>
  <si>
    <t>M Labuschagne</t>
  </si>
  <si>
    <t>N Ellis</t>
  </si>
  <si>
    <t>S Smith</t>
  </si>
  <si>
    <t>G Maxwell</t>
  </si>
  <si>
    <t>B Carse</t>
  </si>
  <si>
    <t>T Banton</t>
  </si>
  <si>
    <t>J Smith</t>
  </si>
  <si>
    <t>J Overton</t>
  </si>
  <si>
    <t>G Atkinson</t>
  </si>
  <si>
    <t>S Mahmood</t>
  </si>
  <si>
    <t>H Brook</t>
  </si>
  <si>
    <t>L Livingstone</t>
  </si>
  <si>
    <t>M Wood</t>
  </si>
  <si>
    <t>P Salt</t>
  </si>
  <si>
    <t>A Rashid</t>
  </si>
  <si>
    <t>J Archer</t>
  </si>
  <si>
    <t>B Duckett</t>
  </si>
  <si>
    <t>J Buttler</t>
  </si>
  <si>
    <t>J Root</t>
  </si>
  <si>
    <t>Anand</t>
  </si>
  <si>
    <t>Points</t>
  </si>
  <si>
    <t>Points from Auto-update</t>
  </si>
  <si>
    <t>Balajee</t>
  </si>
  <si>
    <t>Devesh</t>
  </si>
  <si>
    <t>Gogu</t>
  </si>
  <si>
    <t>Madhavan</t>
  </si>
  <si>
    <t>Murthy</t>
  </si>
  <si>
    <t>Shenoy</t>
  </si>
  <si>
    <t>Tarang</t>
  </si>
  <si>
    <t>Ankit</t>
  </si>
  <si>
    <t>Batsman</t>
  </si>
  <si>
    <t>Bowler</t>
  </si>
  <si>
    <t>Floaters</t>
  </si>
  <si>
    <t>H shahidi</t>
  </si>
  <si>
    <t>L ngidi</t>
  </si>
  <si>
    <t>P salt</t>
  </si>
  <si>
    <t>T tahir</t>
  </si>
  <si>
    <t>M hasnain</t>
  </si>
  <si>
    <t>Akif Javed</t>
  </si>
  <si>
    <t xml:space="preserve">Total </t>
  </si>
  <si>
    <t>Fixed Points</t>
  </si>
  <si>
    <t>Floater points</t>
  </si>
  <si>
    <t>Maddy</t>
  </si>
  <si>
    <t>Kharote</t>
  </si>
  <si>
    <t xml:space="preserve">Temba Bavuma </t>
  </si>
  <si>
    <t>Rohit Sharma</t>
  </si>
  <si>
    <t xml:space="preserve">Jos Butler </t>
  </si>
  <si>
    <t>Heinrich Klassen</t>
  </si>
  <si>
    <t xml:space="preserve">Saud Shakeel </t>
  </si>
  <si>
    <t>Naveed</t>
  </si>
  <si>
    <t>Spencer</t>
  </si>
  <si>
    <t>Axar</t>
  </si>
  <si>
    <t>Fareed</t>
  </si>
  <si>
    <t>Conway</t>
  </si>
  <si>
    <t>Tanzid</t>
  </si>
  <si>
    <t>Lot</t>
  </si>
  <si>
    <t>Random</t>
  </si>
  <si>
    <t>Sold to</t>
  </si>
  <si>
    <t>Price (cr)</t>
  </si>
  <si>
    <t xml:space="preserve">Murthy </t>
  </si>
  <si>
    <t>Jacob Duffy</t>
  </si>
  <si>
    <t>Initial Budget</t>
  </si>
  <si>
    <t>Labuschagne</t>
  </si>
  <si>
    <t>Remaining Budget</t>
  </si>
  <si>
    <t>Banton</t>
  </si>
  <si>
    <t>Name</t>
  </si>
  <si>
    <t>Pranav</t>
  </si>
  <si>
    <t>Varad</t>
  </si>
  <si>
    <t>JD</t>
  </si>
  <si>
    <t>Herit</t>
  </si>
  <si>
    <t>Neil</t>
  </si>
  <si>
    <t>Soham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</si>
</sst>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51626F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  <font>
      <u/>
      <sz val="11"/>
      <color theme="10"/>
      <name val="Calibri"/>
      <family val="2"/>
      <scheme val="minor"/>
    </font>
    <font>
      <b/>
      <sz val="8"/>
      <color rgb="FF000000"/>
      <name val="Helvetica Neue"/>
      <charset val="1"/>
    </font>
    <font>
      <sz val="8"/>
      <color rgb="FF000000"/>
      <name val="Helvetica Neue"/>
      <charset val="1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0B3B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87">
    <xf numFmtId="0" fontId="0" fillId="0" borderId="0" xfId="0"/>
    <xf numFmtId="0" fontId="3" fillId="0" borderId="0" xfId="0" applyFont="1"/>
    <xf numFmtId="0" fontId="0" fillId="2" borderId="0" xfId="0" applyFill="1"/>
    <xf numFmtId="0" fontId="0" fillId="0" borderId="0" xfId="0" applyAlignment="1">
      <alignment horizontal="center"/>
    </xf>
    <xf numFmtId="0" fontId="2" fillId="0" borderId="0" xfId="0" applyFont="1"/>
    <xf numFmtId="0" fontId="5" fillId="0" borderId="0" xfId="0" applyFont="1"/>
    <xf numFmtId="0" fontId="5" fillId="0" borderId="2" xfId="0" applyFont="1" applyBorder="1"/>
    <xf numFmtId="0" fontId="0" fillId="0" borderId="1" xfId="0" applyBorder="1"/>
    <xf numFmtId="0" fontId="2" fillId="0" borderId="1" xfId="0" applyFont="1" applyBorder="1"/>
    <xf numFmtId="16" fontId="2" fillId="0" borderId="0" xfId="0" applyNumberFormat="1" applyFont="1"/>
    <xf numFmtId="0" fontId="0" fillId="2" borderId="12" xfId="0" applyFill="1" applyBorder="1"/>
    <xf numFmtId="0" fontId="4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2" borderId="10" xfId="0" applyFill="1" applyBorder="1"/>
    <xf numFmtId="0" fontId="0" fillId="2" borderId="11" xfId="0" applyFill="1" applyBorder="1"/>
    <xf numFmtId="0" fontId="0" fillId="4" borderId="4" xfId="0" applyFill="1" applyBorder="1"/>
    <xf numFmtId="0" fontId="0" fillId="4" borderId="6" xfId="0" applyFill="1" applyBorder="1"/>
    <xf numFmtId="0" fontId="0" fillId="4" borderId="8" xfId="0" applyFill="1" applyBorder="1"/>
    <xf numFmtId="0" fontId="0" fillId="2" borderId="4" xfId="0" applyFill="1" applyBorder="1"/>
    <xf numFmtId="0" fontId="0" fillId="2" borderId="6" xfId="0" applyFill="1" applyBorder="1"/>
    <xf numFmtId="0" fontId="0" fillId="6" borderId="10" xfId="0" applyFill="1" applyBorder="1"/>
    <xf numFmtId="0" fontId="0" fillId="6" borderId="11" xfId="0" applyFill="1" applyBorder="1"/>
    <xf numFmtId="0" fontId="0" fillId="6" borderId="12" xfId="0" applyFill="1" applyBorder="1"/>
    <xf numFmtId="0" fontId="0" fillId="5" borderId="4" xfId="0" applyFill="1" applyBorder="1"/>
    <xf numFmtId="0" fontId="0" fillId="5" borderId="6" xfId="0" applyFill="1" applyBorder="1"/>
    <xf numFmtId="0" fontId="0" fillId="5" borderId="8" xfId="0" applyFill="1" applyBorder="1"/>
    <xf numFmtId="0" fontId="0" fillId="0" borderId="0" xfId="0" applyAlignment="1">
      <alignment vertical="center"/>
    </xf>
    <xf numFmtId="0" fontId="5" fillId="0" borderId="3" xfId="0" applyFont="1" applyBorder="1"/>
    <xf numFmtId="0" fontId="0" fillId="0" borderId="13" xfId="0" applyBorder="1" applyAlignment="1">
      <alignment vertical="center"/>
    </xf>
    <xf numFmtId="0" fontId="0" fillId="0" borderId="13" xfId="0" applyBorder="1"/>
    <xf numFmtId="0" fontId="0" fillId="0" borderId="14" xfId="0" applyBorder="1"/>
    <xf numFmtId="0" fontId="0" fillId="0" borderId="5" xfId="0" applyBorder="1"/>
    <xf numFmtId="0" fontId="0" fillId="0" borderId="7" xfId="0" applyBorder="1"/>
    <xf numFmtId="0" fontId="0" fillId="0" borderId="9" xfId="0" applyBorder="1"/>
    <xf numFmtId="0" fontId="3" fillId="0" borderId="13" xfId="0" applyFont="1" applyBorder="1"/>
    <xf numFmtId="0" fontId="3" fillId="0" borderId="14" xfId="0" applyFont="1" applyBorder="1"/>
    <xf numFmtId="0" fontId="5" fillId="0" borderId="4" xfId="0" applyFont="1" applyBorder="1"/>
    <xf numFmtId="0" fontId="5" fillId="0" borderId="6" xfId="0" applyFont="1" applyBorder="1"/>
    <xf numFmtId="0" fontId="7" fillId="0" borderId="0" xfId="0" applyFont="1"/>
    <xf numFmtId="0" fontId="6" fillId="0" borderId="0" xfId="0" applyFont="1"/>
    <xf numFmtId="0" fontId="6" fillId="0" borderId="4" xfId="0" applyFont="1" applyBorder="1"/>
    <xf numFmtId="0" fontId="6" fillId="0" borderId="13" xfId="0" applyFont="1" applyBorder="1"/>
    <xf numFmtId="0" fontId="6" fillId="0" borderId="14" xfId="0" applyFont="1" applyBorder="1"/>
    <xf numFmtId="0" fontId="5" fillId="0" borderId="10" xfId="0" applyFont="1" applyBorder="1"/>
    <xf numFmtId="0" fontId="0" fillId="7" borderId="0" xfId="0" applyFill="1"/>
    <xf numFmtId="0" fontId="3" fillId="7" borderId="0" xfId="0" applyFont="1" applyFill="1" applyAlignment="1">
      <alignment horizontal="center"/>
    </xf>
    <xf numFmtId="0" fontId="3" fillId="7" borderId="0" xfId="0" applyFont="1" applyFill="1"/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/>
    <xf numFmtId="0" fontId="3" fillId="8" borderId="0" xfId="0" applyFont="1" applyFill="1" applyAlignment="1">
      <alignment horizontal="center"/>
    </xf>
    <xf numFmtId="0" fontId="3" fillId="8" borderId="0" xfId="0" applyFont="1" applyFill="1"/>
    <xf numFmtId="0" fontId="8" fillId="0" borderId="0" xfId="1"/>
    <xf numFmtId="0" fontId="5" fillId="0" borderId="14" xfId="0" applyFont="1" applyBorder="1"/>
    <xf numFmtId="0" fontId="6" fillId="0" borderId="9" xfId="0" applyFont="1" applyBorder="1"/>
    <xf numFmtId="0" fontId="0" fillId="0" borderId="0" xfId="0" applyAlignment="1">
      <alignment horizontal="center" vertical="center"/>
    </xf>
    <xf numFmtId="0" fontId="0" fillId="8" borderId="7" xfId="0" applyFill="1" applyBorder="1"/>
    <xf numFmtId="0" fontId="0" fillId="8" borderId="0" xfId="0" applyFill="1" applyAlignment="1">
      <alignment horizontal="left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0" fontId="2" fillId="0" borderId="15" xfId="0" applyFont="1" applyBorder="1" applyAlignment="1">
      <alignment horizontal="center"/>
    </xf>
    <xf numFmtId="0" fontId="2" fillId="0" borderId="15" xfId="0" applyFont="1" applyBorder="1"/>
    <xf numFmtId="0" fontId="9" fillId="9" borderId="15" xfId="0" applyFont="1" applyFill="1" applyBorder="1"/>
    <xf numFmtId="0" fontId="10" fillId="0" borderId="15" xfId="0" applyFont="1" applyBorder="1"/>
    <xf numFmtId="0" fontId="11" fillId="8" borderId="0" xfId="0" applyFont="1" applyFill="1"/>
    <xf numFmtId="0" fontId="12" fillId="8" borderId="0" xfId="0" applyFont="1" applyFill="1"/>
    <xf numFmtId="0" fontId="5" fillId="0" borderId="10" xfId="0" applyFont="1" applyBorder="1" applyAlignment="1">
      <alignment horizontal="center"/>
    </xf>
    <xf numFmtId="0" fontId="0" fillId="8" borderId="0" xfId="0" applyFill="1" applyAlignment="1">
      <alignment horizontal="left" vertical="center"/>
    </xf>
    <xf numFmtId="0" fontId="4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26"/>
  <sheetViews>
    <sheetView topLeftCell="B6" workbookViewId="0">
      <selection activeCell="F59" sqref="F59"/>
    </sheetView>
  </sheetViews>
  <sheetFormatPr defaultRowHeight="15"/>
  <cols>
    <col min="1" max="1" width="30" customWidth="1"/>
    <col min="2" max="2" width="17.5703125" bestFit="1" customWidth="1"/>
    <col min="3" max="3" width="26.42578125" bestFit="1" customWidth="1"/>
    <col min="4" max="4" width="23.42578125" bestFit="1" customWidth="1"/>
    <col min="5" max="5" width="24.140625" bestFit="1" customWidth="1"/>
    <col min="6" max="6" width="22.42578125" bestFit="1" customWidth="1"/>
    <col min="7" max="7" width="25" bestFit="1" customWidth="1"/>
    <col min="8" max="8" width="23.7109375" bestFit="1" customWidth="1"/>
    <col min="9" max="9" width="18.28515625" bestFit="1" customWidth="1"/>
    <col min="10" max="10" width="24.28515625" bestFit="1" customWidth="1"/>
    <col min="11" max="11" width="17" bestFit="1" customWidth="1"/>
    <col min="12" max="12" width="22.42578125" bestFit="1" customWidth="1"/>
    <col min="13" max="13" width="19.85546875" bestFit="1" customWidth="1"/>
  </cols>
  <sheetData>
    <row r="2" spans="1:13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</row>
    <row r="3" spans="1:13">
      <c r="A3" s="13" t="s">
        <v>8</v>
      </c>
      <c r="B3" s="13" t="s">
        <v>9</v>
      </c>
      <c r="C3" s="2" t="s">
        <v>10</v>
      </c>
      <c r="D3" s="14" t="s">
        <v>11</v>
      </c>
      <c r="E3" s="13" t="s">
        <v>12</v>
      </c>
      <c r="F3" s="15" t="s">
        <v>13</v>
      </c>
      <c r="G3" s="14" t="s">
        <v>14</v>
      </c>
      <c r="H3" s="13" t="s">
        <v>15</v>
      </c>
      <c r="I3" s="11"/>
      <c r="J3" s="11"/>
      <c r="K3" s="11"/>
      <c r="L3" s="11"/>
      <c r="M3" s="11"/>
    </row>
    <row r="4" spans="1:13">
      <c r="A4" s="13" t="s">
        <v>16</v>
      </c>
      <c r="B4" s="14" t="s">
        <v>17</v>
      </c>
      <c r="C4" s="15" t="s">
        <v>18</v>
      </c>
      <c r="D4" s="2" t="s">
        <v>19</v>
      </c>
      <c r="E4" s="13" t="s">
        <v>20</v>
      </c>
      <c r="F4" s="15" t="s">
        <v>21</v>
      </c>
      <c r="G4" s="15" t="s">
        <v>22</v>
      </c>
      <c r="H4" s="13" t="s">
        <v>23</v>
      </c>
      <c r="I4" s="1"/>
      <c r="J4" s="1"/>
      <c r="K4" s="1"/>
      <c r="L4" s="1"/>
      <c r="M4" s="1"/>
    </row>
    <row r="5" spans="1:13">
      <c r="A5" s="15" t="s">
        <v>24</v>
      </c>
      <c r="B5" s="2" t="s">
        <v>25</v>
      </c>
      <c r="C5" s="13" t="s">
        <v>26</v>
      </c>
      <c r="D5" s="2" t="s">
        <v>27</v>
      </c>
      <c r="E5" s="13" t="s">
        <v>28</v>
      </c>
      <c r="F5" s="15" t="s">
        <v>29</v>
      </c>
      <c r="G5" s="2" t="s">
        <v>30</v>
      </c>
      <c r="H5" s="15" t="s">
        <v>31</v>
      </c>
      <c r="I5" s="1"/>
      <c r="J5" s="1"/>
      <c r="K5" s="1"/>
      <c r="L5" s="1"/>
      <c r="M5" s="1"/>
    </row>
    <row r="6" spans="1:13">
      <c r="A6" s="13" t="s">
        <v>32</v>
      </c>
      <c r="B6" s="15" t="s">
        <v>33</v>
      </c>
      <c r="C6" s="15" t="s">
        <v>34</v>
      </c>
      <c r="D6" s="15" t="s">
        <v>35</v>
      </c>
      <c r="E6" s="13" t="s">
        <v>36</v>
      </c>
      <c r="F6" s="14" t="s">
        <v>37</v>
      </c>
      <c r="G6" s="2" t="s">
        <v>38</v>
      </c>
      <c r="H6" s="14" t="s">
        <v>39</v>
      </c>
      <c r="I6" s="1"/>
      <c r="J6" s="1"/>
      <c r="K6" s="1"/>
      <c r="L6" s="1"/>
      <c r="M6" s="1"/>
    </row>
    <row r="7" spans="1:13">
      <c r="A7" s="15" t="s">
        <v>40</v>
      </c>
      <c r="B7" s="13" t="s">
        <v>41</v>
      </c>
      <c r="C7" s="14" t="s">
        <v>42</v>
      </c>
      <c r="D7" s="13" t="s">
        <v>43</v>
      </c>
      <c r="E7" s="14" t="s">
        <v>44</v>
      </c>
      <c r="F7" s="2" t="s">
        <v>45</v>
      </c>
      <c r="G7" s="15" t="s">
        <v>46</v>
      </c>
      <c r="H7" s="2" t="s">
        <v>47</v>
      </c>
      <c r="I7" s="1"/>
      <c r="J7" s="1"/>
      <c r="K7" s="1"/>
      <c r="L7" s="1"/>
      <c r="M7" s="1"/>
    </row>
    <row r="8" spans="1:13">
      <c r="A8" s="15" t="s">
        <v>48</v>
      </c>
      <c r="B8" s="14" t="s">
        <v>49</v>
      </c>
      <c r="C8" s="14" t="s">
        <v>50</v>
      </c>
      <c r="D8" s="15" t="s">
        <v>51</v>
      </c>
      <c r="E8" s="14" t="s">
        <v>52</v>
      </c>
      <c r="F8" s="2" t="s">
        <v>53</v>
      </c>
      <c r="G8" s="13" t="s">
        <v>54</v>
      </c>
      <c r="H8" s="13" t="s">
        <v>55</v>
      </c>
      <c r="I8" s="1"/>
      <c r="J8" s="1"/>
      <c r="K8" s="1"/>
      <c r="L8" s="1"/>
      <c r="M8" s="1"/>
    </row>
    <row r="9" spans="1:13">
      <c r="A9" s="15" t="s">
        <v>56</v>
      </c>
      <c r="B9" s="13" t="s">
        <v>57</v>
      </c>
      <c r="C9" s="13" t="s">
        <v>58</v>
      </c>
      <c r="D9" s="13" t="s">
        <v>59</v>
      </c>
      <c r="E9" s="15" t="s">
        <v>60</v>
      </c>
      <c r="F9" s="14" t="s">
        <v>61</v>
      </c>
      <c r="G9" s="15" t="s">
        <v>62</v>
      </c>
      <c r="H9" s="13" t="s">
        <v>63</v>
      </c>
      <c r="I9" s="1"/>
      <c r="J9" s="1"/>
      <c r="K9" s="1"/>
      <c r="L9" s="1"/>
      <c r="M9" s="1"/>
    </row>
    <row r="10" spans="1:13">
      <c r="A10" s="14" t="s">
        <v>64</v>
      </c>
      <c r="B10" s="15" t="s">
        <v>65</v>
      </c>
      <c r="C10" s="15" t="s">
        <v>66</v>
      </c>
      <c r="D10" s="15" t="s">
        <v>67</v>
      </c>
      <c r="E10" s="15" t="s">
        <v>68</v>
      </c>
      <c r="F10" s="15" t="s">
        <v>69</v>
      </c>
      <c r="G10" s="2" t="s">
        <v>70</v>
      </c>
      <c r="H10" s="15" t="s">
        <v>71</v>
      </c>
      <c r="I10" s="1"/>
      <c r="J10" s="1"/>
      <c r="K10" s="1"/>
      <c r="L10" s="1"/>
      <c r="M10" s="1"/>
    </row>
    <row r="11" spans="1:13">
      <c r="A11" s="14" t="s">
        <v>72</v>
      </c>
      <c r="B11" s="13" t="s">
        <v>73</v>
      </c>
      <c r="C11" s="15" t="s">
        <v>74</v>
      </c>
      <c r="D11" s="14" t="s">
        <v>75</v>
      </c>
      <c r="E11" s="15" t="s">
        <v>76</v>
      </c>
      <c r="F11" s="15" t="s">
        <v>77</v>
      </c>
      <c r="G11" s="14" t="s">
        <v>78</v>
      </c>
      <c r="H11" s="2" t="s">
        <v>79</v>
      </c>
      <c r="I11" s="1"/>
      <c r="J11" s="1"/>
      <c r="K11" s="1"/>
      <c r="L11" s="1"/>
      <c r="M11" s="1"/>
    </row>
    <row r="12" spans="1:13">
      <c r="A12" s="15" t="s">
        <v>80</v>
      </c>
      <c r="B12" s="2" t="s">
        <v>81</v>
      </c>
      <c r="C12" s="2" t="s">
        <v>82</v>
      </c>
      <c r="D12" s="15" t="s">
        <v>83</v>
      </c>
      <c r="E12" s="2" t="s">
        <v>84</v>
      </c>
      <c r="F12" s="15" t="s">
        <v>85</v>
      </c>
      <c r="G12" s="2" t="s">
        <v>86</v>
      </c>
      <c r="H12" s="2" t="s">
        <v>87</v>
      </c>
      <c r="I12" s="1"/>
      <c r="J12" s="1"/>
      <c r="K12" s="1"/>
      <c r="L12" s="1"/>
      <c r="M12" s="1"/>
    </row>
    <row r="13" spans="1:13">
      <c r="A13" s="2" t="s">
        <v>88</v>
      </c>
      <c r="B13" s="15" t="s">
        <v>89</v>
      </c>
      <c r="C13" s="2" t="s">
        <v>90</v>
      </c>
      <c r="D13" s="2" t="s">
        <v>91</v>
      </c>
      <c r="E13" s="2" t="s">
        <v>92</v>
      </c>
      <c r="F13" s="2" t="s">
        <v>93</v>
      </c>
      <c r="G13" s="15" t="s">
        <v>94</v>
      </c>
      <c r="H13" s="14" t="s">
        <v>95</v>
      </c>
      <c r="I13" s="1"/>
      <c r="J13" s="1"/>
      <c r="K13" s="1"/>
      <c r="L13" s="1"/>
      <c r="M13" s="1"/>
    </row>
    <row r="14" spans="1:13">
      <c r="A14" s="2" t="s">
        <v>96</v>
      </c>
      <c r="B14" s="2" t="s">
        <v>97</v>
      </c>
      <c r="C14" s="14" t="s">
        <v>98</v>
      </c>
      <c r="D14" s="13" t="s">
        <v>99</v>
      </c>
      <c r="E14" s="2" t="s">
        <v>100</v>
      </c>
      <c r="F14" s="2" t="s">
        <v>101</v>
      </c>
      <c r="G14" s="2" t="s">
        <v>102</v>
      </c>
      <c r="H14" s="2" t="s">
        <v>103</v>
      </c>
      <c r="I14" s="1"/>
      <c r="J14" s="1"/>
      <c r="K14" s="1"/>
      <c r="L14" s="1"/>
      <c r="M14" s="1"/>
    </row>
    <row r="15" spans="1:13">
      <c r="A15" s="2" t="s">
        <v>104</v>
      </c>
      <c r="B15" s="13" t="s">
        <v>105</v>
      </c>
      <c r="C15" s="15" t="s">
        <v>106</v>
      </c>
      <c r="D15" s="2" t="s">
        <v>107</v>
      </c>
      <c r="E15" s="2" t="s">
        <v>108</v>
      </c>
      <c r="F15" s="15" t="s">
        <v>109</v>
      </c>
      <c r="G15" s="15" t="s">
        <v>110</v>
      </c>
      <c r="H15" s="14" t="s">
        <v>111</v>
      </c>
      <c r="I15" s="1"/>
      <c r="J15" s="1"/>
      <c r="K15" s="1"/>
      <c r="L15" s="1"/>
      <c r="M15" s="1"/>
    </row>
    <row r="16" spans="1:13">
      <c r="A16" s="2" t="s">
        <v>112</v>
      </c>
      <c r="B16" s="2" t="s">
        <v>113</v>
      </c>
      <c r="C16" s="2" t="s">
        <v>114</v>
      </c>
      <c r="D16" s="14" t="s">
        <v>115</v>
      </c>
      <c r="E16" s="15" t="s">
        <v>116</v>
      </c>
      <c r="F16" s="13" t="s">
        <v>117</v>
      </c>
      <c r="G16" s="13" t="s">
        <v>118</v>
      </c>
      <c r="H16" s="13" t="s">
        <v>119</v>
      </c>
      <c r="I16" s="1"/>
      <c r="J16" s="1"/>
      <c r="K16" s="1"/>
      <c r="L16" s="1"/>
      <c r="M16" s="1"/>
    </row>
    <row r="17" spans="1:13">
      <c r="A17" s="15" t="s">
        <v>120</v>
      </c>
      <c r="B17" s="2" t="s">
        <v>121</v>
      </c>
      <c r="C17" s="15" t="s">
        <v>122</v>
      </c>
      <c r="D17" s="2" t="s">
        <v>123</v>
      </c>
      <c r="E17" s="2" t="s">
        <v>124</v>
      </c>
      <c r="F17" s="13" t="s">
        <v>125</v>
      </c>
      <c r="G17" s="13" t="s">
        <v>126</v>
      </c>
      <c r="H17" s="15" t="s">
        <v>127</v>
      </c>
      <c r="I17" s="1"/>
      <c r="J17" s="1"/>
      <c r="K17" s="1"/>
      <c r="L17" s="1"/>
      <c r="M17" s="1"/>
    </row>
    <row r="21" spans="1:13">
      <c r="C21" t="s">
        <v>128</v>
      </c>
      <c r="D21" t="s">
        <v>129</v>
      </c>
      <c r="E21" t="s">
        <v>130</v>
      </c>
      <c r="F21" t="s">
        <v>131</v>
      </c>
    </row>
    <row r="22" spans="1:13">
      <c r="C22" s="18" t="s">
        <v>8</v>
      </c>
      <c r="D22" s="21" t="s">
        <v>88</v>
      </c>
      <c r="E22" s="26" t="s">
        <v>64</v>
      </c>
      <c r="F22" s="23" t="s">
        <v>24</v>
      </c>
    </row>
    <row r="23" spans="1:13">
      <c r="C23" s="19" t="s">
        <v>16</v>
      </c>
      <c r="D23" s="22" t="s">
        <v>96</v>
      </c>
      <c r="E23" s="27" t="s">
        <v>72</v>
      </c>
      <c r="F23" s="24" t="s">
        <v>40</v>
      </c>
    </row>
    <row r="24" spans="1:13">
      <c r="C24" s="19" t="s">
        <v>32</v>
      </c>
      <c r="D24" s="22" t="s">
        <v>104</v>
      </c>
      <c r="E24" s="26" t="s">
        <v>17</v>
      </c>
      <c r="F24" s="24" t="s">
        <v>48</v>
      </c>
    </row>
    <row r="25" spans="1:13">
      <c r="C25" s="18" t="s">
        <v>9</v>
      </c>
      <c r="D25" s="22" t="s">
        <v>112</v>
      </c>
      <c r="E25" s="27" t="s">
        <v>49</v>
      </c>
      <c r="F25" s="24" t="s">
        <v>56</v>
      </c>
    </row>
    <row r="26" spans="1:13">
      <c r="C26" s="19" t="s">
        <v>41</v>
      </c>
      <c r="D26" s="21" t="s">
        <v>25</v>
      </c>
      <c r="E26" s="26" t="s">
        <v>42</v>
      </c>
      <c r="F26" s="24" t="s">
        <v>80</v>
      </c>
    </row>
    <row r="27" spans="1:13">
      <c r="C27" s="19" t="s">
        <v>73</v>
      </c>
      <c r="D27" s="22" t="s">
        <v>81</v>
      </c>
      <c r="E27" s="27" t="s">
        <v>50</v>
      </c>
      <c r="F27" s="24" t="s">
        <v>120</v>
      </c>
    </row>
    <row r="28" spans="1:13">
      <c r="C28" s="19" t="s">
        <v>105</v>
      </c>
      <c r="D28" s="22" t="s">
        <v>97</v>
      </c>
      <c r="E28" s="27" t="s">
        <v>98</v>
      </c>
      <c r="F28" s="23" t="s">
        <v>33</v>
      </c>
    </row>
    <row r="29" spans="1:13">
      <c r="C29" s="18" t="s">
        <v>26</v>
      </c>
      <c r="D29" s="22" t="s">
        <v>113</v>
      </c>
      <c r="E29" s="26" t="s">
        <v>11</v>
      </c>
      <c r="F29" s="24" t="s">
        <v>65</v>
      </c>
    </row>
    <row r="30" spans="1:13">
      <c r="C30" s="19" t="s">
        <v>58</v>
      </c>
      <c r="D30" s="22" t="s">
        <v>121</v>
      </c>
      <c r="E30" s="27" t="s">
        <v>75</v>
      </c>
      <c r="F30" s="24" t="s">
        <v>89</v>
      </c>
    </row>
    <row r="31" spans="1:13">
      <c r="C31" s="18" t="s">
        <v>43</v>
      </c>
      <c r="D31" s="21" t="s">
        <v>10</v>
      </c>
      <c r="E31" s="27" t="s">
        <v>115</v>
      </c>
      <c r="F31" s="23" t="s">
        <v>18</v>
      </c>
    </row>
    <row r="32" spans="1:13">
      <c r="C32" s="19" t="s">
        <v>59</v>
      </c>
      <c r="D32" s="22" t="s">
        <v>82</v>
      </c>
      <c r="E32" s="26" t="s">
        <v>44</v>
      </c>
      <c r="F32" s="24" t="s">
        <v>34</v>
      </c>
    </row>
    <row r="33" spans="3:6">
      <c r="C33" s="19" t="s">
        <v>99</v>
      </c>
      <c r="D33" s="22" t="s">
        <v>90</v>
      </c>
      <c r="E33" s="27" t="s">
        <v>52</v>
      </c>
      <c r="F33" s="24" t="s">
        <v>66</v>
      </c>
    </row>
    <row r="34" spans="3:6">
      <c r="C34" s="18" t="s">
        <v>12</v>
      </c>
      <c r="D34" s="22" t="s">
        <v>114</v>
      </c>
      <c r="E34" s="26" t="s">
        <v>37</v>
      </c>
      <c r="F34" s="24" t="s">
        <v>74</v>
      </c>
    </row>
    <row r="35" spans="3:6">
      <c r="C35" s="19" t="s">
        <v>20</v>
      </c>
      <c r="D35" s="21" t="s">
        <v>19</v>
      </c>
      <c r="E35" s="27" t="s">
        <v>61</v>
      </c>
      <c r="F35" s="24" t="s">
        <v>106</v>
      </c>
    </row>
    <row r="36" spans="3:6">
      <c r="C36" s="19" t="s">
        <v>28</v>
      </c>
      <c r="D36" s="22" t="s">
        <v>27</v>
      </c>
      <c r="E36" s="26" t="s">
        <v>14</v>
      </c>
      <c r="F36" s="24" t="s">
        <v>122</v>
      </c>
    </row>
    <row r="37" spans="3:6">
      <c r="C37" s="19" t="s">
        <v>36</v>
      </c>
      <c r="D37" s="22" t="s">
        <v>91</v>
      </c>
      <c r="E37" s="27" t="s">
        <v>78</v>
      </c>
      <c r="F37" s="23" t="s">
        <v>35</v>
      </c>
    </row>
    <row r="38" spans="3:6">
      <c r="C38" s="18" t="s">
        <v>117</v>
      </c>
      <c r="D38" s="22" t="s">
        <v>107</v>
      </c>
      <c r="E38" s="26" t="s">
        <v>39</v>
      </c>
      <c r="F38" s="24" t="s">
        <v>51</v>
      </c>
    </row>
    <row r="39" spans="3:6">
      <c r="C39" s="19" t="s">
        <v>125</v>
      </c>
      <c r="D39" s="22" t="s">
        <v>123</v>
      </c>
      <c r="E39" s="27" t="s">
        <v>95</v>
      </c>
      <c r="F39" s="24" t="s">
        <v>67</v>
      </c>
    </row>
    <row r="40" spans="3:6">
      <c r="C40" s="18" t="s">
        <v>118</v>
      </c>
      <c r="D40" s="21" t="s">
        <v>84</v>
      </c>
      <c r="E40" s="28" t="s">
        <v>111</v>
      </c>
      <c r="F40" s="24" t="s">
        <v>83</v>
      </c>
    </row>
    <row r="41" spans="3:6">
      <c r="C41" s="19" t="s">
        <v>126</v>
      </c>
      <c r="D41" s="17" t="s">
        <v>92</v>
      </c>
      <c r="E41" s="1"/>
      <c r="F41" s="23" t="s">
        <v>60</v>
      </c>
    </row>
    <row r="42" spans="3:6">
      <c r="C42" s="18" t="s">
        <v>15</v>
      </c>
      <c r="D42" s="17" t="s">
        <v>100</v>
      </c>
      <c r="E42" s="1"/>
      <c r="F42" s="24" t="s">
        <v>68</v>
      </c>
    </row>
    <row r="43" spans="3:6">
      <c r="C43" s="19" t="s">
        <v>23</v>
      </c>
      <c r="D43" s="17" t="s">
        <v>108</v>
      </c>
      <c r="E43" s="1"/>
      <c r="F43" s="24" t="s">
        <v>76</v>
      </c>
    </row>
    <row r="44" spans="3:6">
      <c r="C44" s="19" t="s">
        <v>55</v>
      </c>
      <c r="D44" s="17" t="s">
        <v>124</v>
      </c>
      <c r="E44" s="1"/>
      <c r="F44" s="24" t="s">
        <v>116</v>
      </c>
    </row>
    <row r="45" spans="3:6">
      <c r="C45" s="19" t="s">
        <v>63</v>
      </c>
      <c r="D45" s="16" t="s">
        <v>45</v>
      </c>
      <c r="E45" s="1"/>
      <c r="F45" s="23" t="s">
        <v>13</v>
      </c>
    </row>
    <row r="46" spans="3:6">
      <c r="C46" s="20" t="s">
        <v>119</v>
      </c>
      <c r="D46" s="17" t="s">
        <v>53</v>
      </c>
      <c r="E46" s="1"/>
      <c r="F46" s="24" t="s">
        <v>21</v>
      </c>
    </row>
    <row r="47" spans="3:6">
      <c r="C47" s="1"/>
      <c r="D47" s="17" t="s">
        <v>93</v>
      </c>
      <c r="E47" s="1"/>
      <c r="F47" s="24" t="s">
        <v>29</v>
      </c>
    </row>
    <row r="48" spans="3:6">
      <c r="C48" s="1"/>
      <c r="D48" s="17" t="s">
        <v>101</v>
      </c>
      <c r="E48" s="1"/>
      <c r="F48" s="24" t="s">
        <v>69</v>
      </c>
    </row>
    <row r="49" spans="3:6">
      <c r="C49" s="1"/>
      <c r="D49" s="16" t="s">
        <v>30</v>
      </c>
      <c r="E49" s="1"/>
      <c r="F49" s="24" t="s">
        <v>77</v>
      </c>
    </row>
    <row r="50" spans="3:6">
      <c r="C50" s="1"/>
      <c r="D50" s="17" t="s">
        <v>38</v>
      </c>
      <c r="E50" s="1"/>
      <c r="F50" s="24" t="s">
        <v>85</v>
      </c>
    </row>
    <row r="51" spans="3:6">
      <c r="C51" s="1"/>
      <c r="D51" s="17" t="s">
        <v>70</v>
      </c>
      <c r="E51" s="1"/>
      <c r="F51" s="24" t="s">
        <v>109</v>
      </c>
    </row>
    <row r="52" spans="3:6">
      <c r="C52" s="1"/>
      <c r="D52" s="17" t="s">
        <v>86</v>
      </c>
      <c r="E52" s="1"/>
      <c r="F52" s="23" t="s">
        <v>22</v>
      </c>
    </row>
    <row r="53" spans="3:6">
      <c r="C53" s="11"/>
      <c r="D53" s="17" t="s">
        <v>102</v>
      </c>
      <c r="E53" s="1"/>
      <c r="F53" s="24" t="s">
        <v>46</v>
      </c>
    </row>
    <row r="54" spans="3:6">
      <c r="C54" s="1"/>
      <c r="D54" s="16" t="s">
        <v>47</v>
      </c>
      <c r="E54" s="1"/>
      <c r="F54" s="24" t="s">
        <v>62</v>
      </c>
    </row>
    <row r="55" spans="3:6">
      <c r="C55" s="1"/>
      <c r="D55" s="17" t="s">
        <v>79</v>
      </c>
      <c r="E55" s="1"/>
      <c r="F55" s="24" t="s">
        <v>94</v>
      </c>
    </row>
    <row r="56" spans="3:6">
      <c r="C56" s="1"/>
      <c r="D56" s="17" t="s">
        <v>87</v>
      </c>
      <c r="E56" s="11"/>
      <c r="F56" s="24" t="s">
        <v>110</v>
      </c>
    </row>
    <row r="57" spans="3:6">
      <c r="C57" s="1"/>
      <c r="D57" s="10" t="s">
        <v>103</v>
      </c>
      <c r="E57" s="1"/>
      <c r="F57" s="23" t="s">
        <v>31</v>
      </c>
    </row>
    <row r="58" spans="3:6">
      <c r="C58" s="1"/>
      <c r="D58" s="1"/>
      <c r="E58" s="1"/>
      <c r="F58" s="24" t="s">
        <v>71</v>
      </c>
    </row>
    <row r="59" spans="3:6">
      <c r="C59" s="1"/>
      <c r="D59" s="1"/>
      <c r="E59" s="1"/>
      <c r="F59" s="25" t="s">
        <v>127</v>
      </c>
    </row>
    <row r="60" spans="3:6">
      <c r="C60" s="1"/>
      <c r="D60" s="1"/>
      <c r="E60" s="1"/>
      <c r="F60" s="1"/>
    </row>
    <row r="61" spans="3:6">
      <c r="D61" s="1"/>
      <c r="F61" s="1"/>
    </row>
    <row r="62" spans="3:6">
      <c r="C62" s="11"/>
      <c r="D62" s="1"/>
      <c r="F62" s="11"/>
    </row>
    <row r="63" spans="3:6">
      <c r="C63" s="1"/>
      <c r="F63" s="1"/>
    </row>
    <row r="64" spans="3:6">
      <c r="C64" s="1"/>
      <c r="D64" s="1"/>
      <c r="F64" s="1"/>
    </row>
    <row r="65" spans="3:6">
      <c r="C65" s="1"/>
      <c r="D65" s="1"/>
      <c r="F65" s="1"/>
    </row>
    <row r="66" spans="3:6">
      <c r="C66" s="1"/>
      <c r="D66" s="1"/>
      <c r="F66" s="1"/>
    </row>
    <row r="67" spans="3:6">
      <c r="C67" s="1"/>
      <c r="D67" s="1"/>
      <c r="F67" s="1"/>
    </row>
    <row r="68" spans="3:6">
      <c r="C68" s="1"/>
      <c r="D68" s="1"/>
      <c r="F68" s="1"/>
    </row>
    <row r="69" spans="3:6">
      <c r="C69" s="1"/>
      <c r="D69" s="1"/>
      <c r="F69" s="1"/>
    </row>
    <row r="70" spans="3:6">
      <c r="C70" s="1"/>
      <c r="D70" s="1"/>
      <c r="F70" s="1"/>
    </row>
    <row r="71" spans="3:6">
      <c r="C71" s="1"/>
      <c r="D71" s="1"/>
      <c r="F71" s="11"/>
    </row>
    <row r="72" spans="3:6">
      <c r="C72" s="1"/>
      <c r="D72" s="1"/>
      <c r="F72" s="1"/>
    </row>
    <row r="73" spans="3:6">
      <c r="C73" s="11"/>
      <c r="D73" s="1"/>
      <c r="F73" s="1"/>
    </row>
    <row r="74" spans="3:6">
      <c r="C74" s="1"/>
      <c r="D74" s="1"/>
      <c r="F74" s="11"/>
    </row>
    <row r="75" spans="3:6">
      <c r="C75" s="1"/>
      <c r="D75" s="1"/>
      <c r="F75" s="1"/>
    </row>
    <row r="76" spans="3:6">
      <c r="C76" s="11"/>
      <c r="D76" s="1"/>
      <c r="F76" s="1"/>
    </row>
    <row r="77" spans="3:6">
      <c r="C77" s="1"/>
      <c r="D77" s="1"/>
      <c r="F77" s="1"/>
    </row>
    <row r="78" spans="3:6">
      <c r="C78" s="1"/>
      <c r="D78" s="1"/>
      <c r="F78" s="1"/>
    </row>
    <row r="79" spans="3:6">
      <c r="C79" s="1"/>
      <c r="D79" s="1"/>
      <c r="F79" s="1"/>
    </row>
    <row r="80" spans="3:6">
      <c r="C80" s="1"/>
      <c r="D80" s="1"/>
      <c r="F80" s="1"/>
    </row>
    <row r="81" spans="3:6">
      <c r="C81" s="1"/>
      <c r="D81" s="1"/>
      <c r="F81" s="1"/>
    </row>
    <row r="82" spans="3:6">
      <c r="C82" s="1"/>
      <c r="D82" s="1"/>
      <c r="F82" s="1"/>
    </row>
    <row r="83" spans="3:6">
      <c r="C83" s="1"/>
      <c r="D83" s="1"/>
      <c r="F83" s="1"/>
    </row>
    <row r="84" spans="3:6">
      <c r="C84" s="1"/>
      <c r="D84" s="1"/>
      <c r="F84" s="1"/>
    </row>
    <row r="85" spans="3:6">
      <c r="C85" s="1"/>
      <c r="D85" s="1"/>
      <c r="F85" s="1"/>
    </row>
    <row r="86" spans="3:6">
      <c r="C86" s="1"/>
      <c r="D86" s="1"/>
      <c r="F86" s="1"/>
    </row>
    <row r="87" spans="3:6">
      <c r="C87" s="1"/>
      <c r="D87" s="1"/>
      <c r="F87" s="1"/>
    </row>
    <row r="88" spans="3:6">
      <c r="C88" s="11"/>
      <c r="D88" s="1"/>
      <c r="F88" s="1"/>
    </row>
    <row r="89" spans="3:6">
      <c r="C89" s="1"/>
      <c r="D89" s="1"/>
      <c r="F89" s="1"/>
    </row>
    <row r="90" spans="3:6">
      <c r="C90" s="1"/>
      <c r="D90" s="1"/>
      <c r="F90" s="1"/>
    </row>
    <row r="91" spans="3:6">
      <c r="C91" s="1"/>
      <c r="D91" s="1"/>
    </row>
    <row r="92" spans="3:6">
      <c r="C92" s="1"/>
      <c r="D92" s="1"/>
    </row>
    <row r="93" spans="3:6">
      <c r="C93" s="1"/>
      <c r="D93" s="1"/>
    </row>
    <row r="94" spans="3:6">
      <c r="C94" s="1"/>
      <c r="D94" s="1"/>
    </row>
    <row r="95" spans="3:6">
      <c r="C95" s="1"/>
      <c r="D95" s="1"/>
    </row>
    <row r="96" spans="3:6">
      <c r="C96" s="1"/>
      <c r="D96" s="1"/>
    </row>
    <row r="97" spans="3:4">
      <c r="C97" s="11"/>
      <c r="D97" s="1"/>
    </row>
    <row r="98" spans="3:4">
      <c r="C98" s="1"/>
      <c r="D98" s="1"/>
    </row>
    <row r="99" spans="3:4">
      <c r="C99" s="1"/>
      <c r="D99" s="1"/>
    </row>
    <row r="100" spans="3:4">
      <c r="C100" s="1"/>
      <c r="D100" s="1"/>
    </row>
    <row r="101" spans="3:4">
      <c r="D101" s="1"/>
    </row>
    <row r="102" spans="3:4">
      <c r="D102" s="1"/>
    </row>
    <row r="103" spans="3:4">
      <c r="D103" s="1"/>
    </row>
    <row r="104" spans="3:4">
      <c r="D104" s="1"/>
    </row>
    <row r="105" spans="3:4">
      <c r="D105" s="1"/>
    </row>
    <row r="106" spans="3:4">
      <c r="D106" s="1"/>
    </row>
    <row r="107" spans="3:4">
      <c r="D107" s="1"/>
    </row>
    <row r="108" spans="3:4">
      <c r="D108" s="1"/>
    </row>
    <row r="109" spans="3:4">
      <c r="D109" s="1"/>
    </row>
    <row r="110" spans="3:4">
      <c r="D110" s="1"/>
    </row>
    <row r="111" spans="3:4">
      <c r="D111" s="1"/>
    </row>
    <row r="112" spans="3:4">
      <c r="D112" s="1"/>
    </row>
    <row r="113" spans="4:4">
      <c r="D113" s="1"/>
    </row>
    <row r="114" spans="4:4">
      <c r="D114" s="1"/>
    </row>
    <row r="115" spans="4:4">
      <c r="D115" s="1"/>
    </row>
    <row r="116" spans="4:4">
      <c r="D116" s="1"/>
    </row>
    <row r="117" spans="4:4">
      <c r="D117" s="1"/>
    </row>
    <row r="118" spans="4:4">
      <c r="D118" s="1"/>
    </row>
    <row r="119" spans="4:4">
      <c r="D119" s="1"/>
    </row>
    <row r="120" spans="4:4">
      <c r="D120" s="1"/>
    </row>
    <row r="121" spans="4:4">
      <c r="D121" s="1"/>
    </row>
    <row r="122" spans="4:4">
      <c r="D122" s="1"/>
    </row>
    <row r="123" spans="4:4">
      <c r="D123" s="1"/>
    </row>
    <row r="124" spans="4:4">
      <c r="D124" s="1"/>
    </row>
    <row r="125" spans="4:4">
      <c r="D125" s="1"/>
    </row>
    <row r="126" spans="4:4">
      <c r="D1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6D77A-002A-43E3-B601-B9236134AF2D}">
  <dimension ref="A1:D121"/>
  <sheetViews>
    <sheetView workbookViewId="0">
      <selection activeCell="D1" sqref="D1:D121"/>
    </sheetView>
  </sheetViews>
  <sheetFormatPr defaultRowHeight="15"/>
  <sheetData>
    <row r="1" spans="1:4">
      <c r="A1" s="65" t="s">
        <v>132</v>
      </c>
      <c r="B1" s="65" t="s">
        <v>133</v>
      </c>
      <c r="C1" s="65" t="s">
        <v>134</v>
      </c>
      <c r="D1" s="65" t="s">
        <v>135</v>
      </c>
    </row>
    <row r="2" spans="1:4">
      <c r="A2" s="66" t="s">
        <v>136</v>
      </c>
      <c r="B2" s="66" t="s">
        <v>6</v>
      </c>
      <c r="C2" s="66">
        <v>80</v>
      </c>
      <c r="D2" s="66">
        <v>10</v>
      </c>
    </row>
    <row r="3" spans="1:4">
      <c r="A3" s="66" t="s">
        <v>137</v>
      </c>
      <c r="B3" s="66" t="s">
        <v>6</v>
      </c>
      <c r="C3" s="66">
        <v>80</v>
      </c>
      <c r="D3" s="66">
        <v>5</v>
      </c>
    </row>
    <row r="4" spans="1:4">
      <c r="A4" s="66" t="s">
        <v>138</v>
      </c>
      <c r="B4" s="66" t="s">
        <v>6</v>
      </c>
      <c r="C4" s="66">
        <v>85</v>
      </c>
      <c r="D4" s="66">
        <v>247</v>
      </c>
    </row>
    <row r="5" spans="1:4">
      <c r="A5" s="66" t="s">
        <v>139</v>
      </c>
      <c r="B5" s="66" t="s">
        <v>6</v>
      </c>
      <c r="C5" s="66">
        <v>85</v>
      </c>
      <c r="D5" s="66">
        <v>0</v>
      </c>
    </row>
    <row r="6" spans="1:4">
      <c r="A6" s="66" t="s">
        <v>140</v>
      </c>
      <c r="B6" s="66" t="s">
        <v>6</v>
      </c>
      <c r="C6" s="66">
        <v>85</v>
      </c>
      <c r="D6" s="66">
        <v>0</v>
      </c>
    </row>
    <row r="7" spans="1:4">
      <c r="A7" s="66" t="s">
        <v>141</v>
      </c>
      <c r="B7" s="66" t="s">
        <v>6</v>
      </c>
      <c r="C7" s="66">
        <v>85</v>
      </c>
      <c r="D7" s="66">
        <v>68</v>
      </c>
    </row>
    <row r="8" spans="1:4">
      <c r="A8" s="66" t="s">
        <v>142</v>
      </c>
      <c r="B8" s="66" t="s">
        <v>6</v>
      </c>
      <c r="C8" s="66">
        <v>85</v>
      </c>
      <c r="D8" s="66">
        <v>0</v>
      </c>
    </row>
    <row r="9" spans="1:4">
      <c r="A9" s="66" t="s">
        <v>143</v>
      </c>
      <c r="B9" s="66" t="s">
        <v>6</v>
      </c>
      <c r="C9" s="66">
        <v>85</v>
      </c>
      <c r="D9" s="66">
        <v>0</v>
      </c>
    </row>
    <row r="10" spans="1:4">
      <c r="A10" s="66" t="s">
        <v>144</v>
      </c>
      <c r="B10" s="66" t="s">
        <v>6</v>
      </c>
      <c r="C10" s="66">
        <v>85</v>
      </c>
      <c r="D10" s="66">
        <v>118</v>
      </c>
    </row>
    <row r="11" spans="1:4">
      <c r="A11" s="66" t="s">
        <v>145</v>
      </c>
      <c r="B11" s="66" t="s">
        <v>6</v>
      </c>
      <c r="C11" s="66">
        <v>85</v>
      </c>
      <c r="D11" s="66">
        <v>85</v>
      </c>
    </row>
    <row r="12" spans="1:4">
      <c r="A12" s="66" t="s">
        <v>146</v>
      </c>
      <c r="B12" s="66" t="s">
        <v>6</v>
      </c>
      <c r="C12" s="66">
        <v>90</v>
      </c>
      <c r="D12" s="66">
        <v>117</v>
      </c>
    </row>
    <row r="13" spans="1:4">
      <c r="A13" s="66" t="s">
        <v>147</v>
      </c>
      <c r="B13" s="66" t="s">
        <v>6</v>
      </c>
      <c r="C13" s="66">
        <v>90</v>
      </c>
      <c r="D13" s="66">
        <v>94</v>
      </c>
    </row>
    <row r="14" spans="1:4">
      <c r="A14" s="66" t="s">
        <v>148</v>
      </c>
      <c r="B14" s="66" t="s">
        <v>6</v>
      </c>
      <c r="C14" s="66">
        <v>90</v>
      </c>
      <c r="D14" s="66">
        <v>60</v>
      </c>
    </row>
    <row r="15" spans="1:4">
      <c r="A15" s="66" t="s">
        <v>149</v>
      </c>
      <c r="B15" s="66" t="s">
        <v>6</v>
      </c>
      <c r="C15" s="66">
        <v>95</v>
      </c>
      <c r="D15" s="66">
        <v>114</v>
      </c>
    </row>
    <row r="16" spans="1:4">
      <c r="A16" s="66" t="s">
        <v>150</v>
      </c>
      <c r="B16" s="66" t="s">
        <v>6</v>
      </c>
      <c r="C16" s="66">
        <v>95</v>
      </c>
      <c r="D16" s="66">
        <v>84</v>
      </c>
    </row>
    <row r="17" spans="1:4">
      <c r="A17" s="66" t="s">
        <v>151</v>
      </c>
      <c r="B17" s="66" t="s">
        <v>5</v>
      </c>
      <c r="C17" s="66">
        <v>80</v>
      </c>
      <c r="D17" s="66">
        <v>251</v>
      </c>
    </row>
    <row r="18" spans="1:4">
      <c r="A18" s="66" t="s">
        <v>152</v>
      </c>
      <c r="B18" s="66" t="s">
        <v>5</v>
      </c>
      <c r="C18" s="66">
        <v>80</v>
      </c>
      <c r="D18" s="66">
        <v>250</v>
      </c>
    </row>
    <row r="19" spans="1:4">
      <c r="A19" s="66" t="s">
        <v>153</v>
      </c>
      <c r="B19" s="66" t="s">
        <v>5</v>
      </c>
      <c r="C19" s="66">
        <v>80</v>
      </c>
      <c r="D19" s="66">
        <v>0</v>
      </c>
    </row>
    <row r="20" spans="1:4">
      <c r="A20" s="66" t="s">
        <v>154</v>
      </c>
      <c r="B20" s="66" t="s">
        <v>5</v>
      </c>
      <c r="C20" s="66">
        <v>85</v>
      </c>
      <c r="D20" s="66">
        <v>169</v>
      </c>
    </row>
    <row r="21" spans="1:4">
      <c r="A21" s="66" t="s">
        <v>155</v>
      </c>
      <c r="B21" s="66" t="s">
        <v>5</v>
      </c>
      <c r="C21" s="66">
        <v>85</v>
      </c>
      <c r="D21" s="66">
        <v>25</v>
      </c>
    </row>
    <row r="22" spans="1:4">
      <c r="A22" s="66" t="s">
        <v>156</v>
      </c>
      <c r="B22" s="66" t="s">
        <v>5</v>
      </c>
      <c r="C22" s="66">
        <v>85</v>
      </c>
      <c r="D22" s="66">
        <v>0</v>
      </c>
    </row>
    <row r="23" spans="1:4">
      <c r="A23" s="66" t="s">
        <v>157</v>
      </c>
      <c r="B23" s="66" t="s">
        <v>5</v>
      </c>
      <c r="C23" s="66">
        <v>85</v>
      </c>
      <c r="D23" s="66">
        <v>549</v>
      </c>
    </row>
    <row r="24" spans="1:4">
      <c r="A24" s="66" t="s">
        <v>158</v>
      </c>
      <c r="B24" s="66" t="s">
        <v>5</v>
      </c>
      <c r="C24" s="66">
        <v>85</v>
      </c>
      <c r="D24" s="66">
        <v>371</v>
      </c>
    </row>
    <row r="25" spans="1:4">
      <c r="A25" s="66" t="s">
        <v>159</v>
      </c>
      <c r="B25" s="66" t="s">
        <v>5</v>
      </c>
      <c r="C25" s="66">
        <v>90</v>
      </c>
      <c r="D25" s="66">
        <v>36</v>
      </c>
    </row>
    <row r="26" spans="1:4">
      <c r="A26" s="66" t="s">
        <v>160</v>
      </c>
      <c r="B26" s="66" t="s">
        <v>5</v>
      </c>
      <c r="C26" s="66">
        <v>90</v>
      </c>
      <c r="D26" s="66">
        <v>428</v>
      </c>
    </row>
    <row r="27" spans="1:4">
      <c r="A27" s="66" t="s">
        <v>161</v>
      </c>
      <c r="B27" s="66" t="s">
        <v>5</v>
      </c>
      <c r="C27" s="66">
        <v>90</v>
      </c>
      <c r="D27" s="66">
        <v>686</v>
      </c>
    </row>
    <row r="28" spans="1:4">
      <c r="A28" s="66" t="s">
        <v>162</v>
      </c>
      <c r="B28" s="66" t="s">
        <v>5</v>
      </c>
      <c r="C28" s="66">
        <v>90</v>
      </c>
      <c r="D28" s="66">
        <v>382</v>
      </c>
    </row>
    <row r="29" spans="1:4">
      <c r="A29" s="66" t="s">
        <v>163</v>
      </c>
      <c r="B29" s="66" t="s">
        <v>5</v>
      </c>
      <c r="C29" s="66">
        <v>90</v>
      </c>
      <c r="D29" s="66">
        <v>430</v>
      </c>
    </row>
    <row r="30" spans="1:4">
      <c r="A30" s="66" t="s">
        <v>164</v>
      </c>
      <c r="B30" s="66" t="s">
        <v>5</v>
      </c>
      <c r="C30" s="66">
        <v>90</v>
      </c>
      <c r="D30" s="66">
        <v>165</v>
      </c>
    </row>
    <row r="31" spans="1:4">
      <c r="A31" s="66" t="s">
        <v>165</v>
      </c>
      <c r="B31" s="66" t="s">
        <v>5</v>
      </c>
      <c r="C31" s="66">
        <v>95</v>
      </c>
      <c r="D31" s="66">
        <v>393</v>
      </c>
    </row>
    <row r="32" spans="1:4">
      <c r="A32" s="66" t="s">
        <v>166</v>
      </c>
      <c r="B32" s="66" t="s">
        <v>2</v>
      </c>
      <c r="C32" s="66">
        <v>80</v>
      </c>
      <c r="D32" s="66">
        <v>0</v>
      </c>
    </row>
    <row r="33" spans="1:4">
      <c r="A33" s="66" t="s">
        <v>26</v>
      </c>
      <c r="B33" s="66" t="s">
        <v>2</v>
      </c>
      <c r="C33" s="66">
        <v>80</v>
      </c>
      <c r="D33" s="66">
        <v>109</v>
      </c>
    </row>
    <row r="34" spans="1:4">
      <c r="A34" s="66" t="s">
        <v>167</v>
      </c>
      <c r="B34" s="66" t="s">
        <v>2</v>
      </c>
      <c r="C34" s="66">
        <v>80</v>
      </c>
      <c r="D34" s="66">
        <v>127</v>
      </c>
    </row>
    <row r="35" spans="1:4">
      <c r="A35" s="66" t="s">
        <v>168</v>
      </c>
      <c r="B35" s="66" t="s">
        <v>2</v>
      </c>
      <c r="C35" s="66">
        <v>80</v>
      </c>
      <c r="D35" s="66">
        <v>215</v>
      </c>
    </row>
    <row r="36" spans="1:4">
      <c r="A36" s="66" t="s">
        <v>169</v>
      </c>
      <c r="B36" s="66" t="s">
        <v>2</v>
      </c>
      <c r="C36" s="66">
        <v>80</v>
      </c>
      <c r="D36" s="66">
        <v>40</v>
      </c>
    </row>
    <row r="37" spans="1:4">
      <c r="A37" s="66" t="s">
        <v>170</v>
      </c>
      <c r="B37" s="66" t="s">
        <v>2</v>
      </c>
      <c r="C37" s="66">
        <v>80</v>
      </c>
      <c r="D37" s="66">
        <v>10</v>
      </c>
    </row>
    <row r="38" spans="1:4">
      <c r="A38" s="66" t="s">
        <v>171</v>
      </c>
      <c r="B38" s="66" t="s">
        <v>2</v>
      </c>
      <c r="C38" s="66">
        <v>85</v>
      </c>
      <c r="D38" s="66">
        <v>0</v>
      </c>
    </row>
    <row r="39" spans="1:4">
      <c r="A39" s="66" t="s">
        <v>172</v>
      </c>
      <c r="B39" s="66" t="s">
        <v>2</v>
      </c>
      <c r="C39" s="66">
        <v>85</v>
      </c>
      <c r="D39" s="66">
        <v>139</v>
      </c>
    </row>
    <row r="40" spans="1:4">
      <c r="A40" s="66" t="s">
        <v>173</v>
      </c>
      <c r="B40" s="66" t="s">
        <v>2</v>
      </c>
      <c r="C40" s="66">
        <v>85</v>
      </c>
      <c r="D40" s="66">
        <v>57</v>
      </c>
    </row>
    <row r="41" spans="1:4">
      <c r="A41" s="66" t="s">
        <v>174</v>
      </c>
      <c r="B41" s="66" t="s">
        <v>2</v>
      </c>
      <c r="C41" s="66">
        <v>85</v>
      </c>
      <c r="D41" s="66">
        <v>-5</v>
      </c>
    </row>
    <row r="42" spans="1:4">
      <c r="A42" s="66" t="s">
        <v>175</v>
      </c>
      <c r="B42" s="66" t="s">
        <v>2</v>
      </c>
      <c r="C42" s="66">
        <v>90</v>
      </c>
      <c r="D42" s="66">
        <v>73</v>
      </c>
    </row>
    <row r="43" spans="1:4">
      <c r="A43" s="66" t="s">
        <v>176</v>
      </c>
      <c r="B43" s="66" t="s">
        <v>2</v>
      </c>
      <c r="C43" s="66">
        <v>90</v>
      </c>
      <c r="D43" s="66">
        <v>115</v>
      </c>
    </row>
    <row r="44" spans="1:4">
      <c r="A44" s="66" t="s">
        <v>177</v>
      </c>
      <c r="B44" s="66" t="s">
        <v>2</v>
      </c>
      <c r="C44" s="66">
        <v>90</v>
      </c>
      <c r="D44" s="66">
        <v>2</v>
      </c>
    </row>
    <row r="45" spans="1:4">
      <c r="A45" s="66" t="s">
        <v>34</v>
      </c>
      <c r="B45" s="66" t="s">
        <v>2</v>
      </c>
      <c r="C45" s="66">
        <v>90</v>
      </c>
      <c r="D45" s="66">
        <v>14</v>
      </c>
    </row>
    <row r="46" spans="1:4">
      <c r="A46" s="66" t="s">
        <v>178</v>
      </c>
      <c r="B46" s="66" t="s">
        <v>2</v>
      </c>
      <c r="C46" s="66">
        <v>90</v>
      </c>
      <c r="D46" s="66">
        <v>100</v>
      </c>
    </row>
    <row r="47" spans="1:4">
      <c r="A47" s="66" t="s">
        <v>179</v>
      </c>
      <c r="B47" s="66" t="s">
        <v>0</v>
      </c>
      <c r="C47" s="66">
        <v>80</v>
      </c>
      <c r="D47" s="66">
        <v>0</v>
      </c>
    </row>
    <row r="48" spans="1:4">
      <c r="A48" s="66" t="s">
        <v>180</v>
      </c>
      <c r="B48" s="66" t="s">
        <v>0</v>
      </c>
      <c r="C48" s="66">
        <v>80</v>
      </c>
      <c r="D48" s="66">
        <v>153</v>
      </c>
    </row>
    <row r="49" spans="1:4">
      <c r="A49" s="66" t="s">
        <v>181</v>
      </c>
      <c r="B49" s="66" t="s">
        <v>0</v>
      </c>
      <c r="C49" s="66">
        <v>80</v>
      </c>
      <c r="D49" s="66">
        <v>0</v>
      </c>
    </row>
    <row r="50" spans="1:4">
      <c r="A50" s="66" t="s">
        <v>182</v>
      </c>
      <c r="B50" s="66" t="s">
        <v>0</v>
      </c>
      <c r="C50" s="66">
        <v>80</v>
      </c>
      <c r="D50" s="66">
        <v>0</v>
      </c>
    </row>
    <row r="51" spans="1:4">
      <c r="A51" s="66" t="s">
        <v>183</v>
      </c>
      <c r="B51" s="66" t="s">
        <v>0</v>
      </c>
      <c r="C51" s="66">
        <v>80</v>
      </c>
      <c r="D51" s="66">
        <v>0</v>
      </c>
    </row>
    <row r="52" spans="1:4">
      <c r="A52" s="66" t="s">
        <v>184</v>
      </c>
      <c r="B52" s="66" t="s">
        <v>0</v>
      </c>
      <c r="C52" s="66">
        <v>85</v>
      </c>
      <c r="D52" s="66">
        <v>176</v>
      </c>
    </row>
    <row r="53" spans="1:4">
      <c r="A53" s="66" t="s">
        <v>185</v>
      </c>
      <c r="B53" s="66" t="s">
        <v>0</v>
      </c>
      <c r="C53" s="66">
        <v>85</v>
      </c>
      <c r="D53" s="66">
        <v>33</v>
      </c>
    </row>
    <row r="54" spans="1:4">
      <c r="A54" s="66" t="s">
        <v>186</v>
      </c>
      <c r="B54" s="66" t="s">
        <v>0</v>
      </c>
      <c r="C54" s="66">
        <v>90</v>
      </c>
      <c r="D54" s="66">
        <v>42</v>
      </c>
    </row>
    <row r="55" spans="1:4">
      <c r="A55" s="66" t="s">
        <v>187</v>
      </c>
      <c r="B55" s="66" t="s">
        <v>0</v>
      </c>
      <c r="C55" s="66">
        <v>90</v>
      </c>
      <c r="D55" s="66">
        <v>268</v>
      </c>
    </row>
    <row r="56" spans="1:4">
      <c r="A56" s="66" t="s">
        <v>188</v>
      </c>
      <c r="B56" s="66" t="s">
        <v>0</v>
      </c>
      <c r="C56" s="66">
        <v>90</v>
      </c>
      <c r="D56" s="66">
        <v>50</v>
      </c>
    </row>
    <row r="57" spans="1:4">
      <c r="A57" s="66" t="s">
        <v>189</v>
      </c>
      <c r="B57" s="66" t="s">
        <v>0</v>
      </c>
      <c r="C57" s="66">
        <v>90</v>
      </c>
      <c r="D57" s="66">
        <v>361</v>
      </c>
    </row>
    <row r="58" spans="1:4">
      <c r="A58" s="66" t="s">
        <v>190</v>
      </c>
      <c r="B58" s="66" t="s">
        <v>0</v>
      </c>
      <c r="C58" s="66">
        <v>90</v>
      </c>
      <c r="D58" s="66">
        <v>18</v>
      </c>
    </row>
    <row r="59" spans="1:4">
      <c r="A59" s="66" t="s">
        <v>191</v>
      </c>
      <c r="B59" s="66" t="s">
        <v>0</v>
      </c>
      <c r="C59" s="66">
        <v>90</v>
      </c>
      <c r="D59" s="66">
        <v>486</v>
      </c>
    </row>
    <row r="60" spans="1:4">
      <c r="A60" s="66" t="s">
        <v>192</v>
      </c>
      <c r="B60" s="66" t="s">
        <v>0</v>
      </c>
      <c r="C60" s="66">
        <v>90</v>
      </c>
      <c r="D60" s="66">
        <v>47</v>
      </c>
    </row>
    <row r="61" spans="1:4">
      <c r="A61" s="66" t="s">
        <v>193</v>
      </c>
      <c r="B61" s="66" t="s">
        <v>0</v>
      </c>
      <c r="C61" s="66">
        <v>95</v>
      </c>
      <c r="D61" s="66">
        <v>113</v>
      </c>
    </row>
    <row r="62" spans="1:4">
      <c r="A62" s="66" t="s">
        <v>194</v>
      </c>
      <c r="B62" s="66" t="s">
        <v>4</v>
      </c>
      <c r="C62" s="66">
        <v>85</v>
      </c>
      <c r="D62" s="66">
        <v>0</v>
      </c>
    </row>
    <row r="63" spans="1:4">
      <c r="A63" s="66" t="s">
        <v>195</v>
      </c>
      <c r="B63" s="66" t="s">
        <v>4</v>
      </c>
      <c r="C63" s="66">
        <v>85</v>
      </c>
      <c r="D63" s="66">
        <v>150</v>
      </c>
    </row>
    <row r="64" spans="1:4">
      <c r="A64" s="66" t="s">
        <v>196</v>
      </c>
      <c r="B64" s="66" t="s">
        <v>4</v>
      </c>
      <c r="C64" s="66">
        <v>85</v>
      </c>
      <c r="D64" s="66">
        <v>365</v>
      </c>
    </row>
    <row r="65" spans="1:4">
      <c r="A65" s="66" t="s">
        <v>197</v>
      </c>
      <c r="B65" s="66" t="s">
        <v>4</v>
      </c>
      <c r="C65" s="66">
        <v>90</v>
      </c>
      <c r="D65" s="66">
        <v>0</v>
      </c>
    </row>
    <row r="66" spans="1:4">
      <c r="A66" s="66" t="s">
        <v>198</v>
      </c>
      <c r="B66" s="66" t="s">
        <v>4</v>
      </c>
      <c r="C66" s="66">
        <v>90</v>
      </c>
      <c r="D66" s="66">
        <v>355</v>
      </c>
    </row>
    <row r="67" spans="1:4">
      <c r="A67" s="66" t="s">
        <v>199</v>
      </c>
      <c r="B67" s="66" t="s">
        <v>4</v>
      </c>
      <c r="C67" s="66">
        <v>90</v>
      </c>
      <c r="D67" s="66">
        <v>330</v>
      </c>
    </row>
    <row r="68" spans="1:4">
      <c r="A68" s="66" t="s">
        <v>200</v>
      </c>
      <c r="B68" s="66" t="s">
        <v>4</v>
      </c>
      <c r="C68" s="66">
        <v>90</v>
      </c>
      <c r="D68" s="66">
        <v>297</v>
      </c>
    </row>
    <row r="69" spans="1:4">
      <c r="A69" s="66" t="s">
        <v>44</v>
      </c>
      <c r="B69" s="66" t="s">
        <v>4</v>
      </c>
      <c r="C69" s="66">
        <v>90</v>
      </c>
      <c r="D69" s="66">
        <v>275</v>
      </c>
    </row>
    <row r="70" spans="1:4">
      <c r="A70" s="66" t="s">
        <v>201</v>
      </c>
      <c r="B70" s="66" t="s">
        <v>4</v>
      </c>
      <c r="C70" s="66">
        <v>90</v>
      </c>
      <c r="D70" s="66">
        <v>286</v>
      </c>
    </row>
    <row r="71" spans="1:4">
      <c r="A71" s="66" t="s">
        <v>202</v>
      </c>
      <c r="B71" s="66" t="s">
        <v>4</v>
      </c>
      <c r="C71" s="66">
        <v>90</v>
      </c>
      <c r="D71" s="66">
        <v>386</v>
      </c>
    </row>
    <row r="72" spans="1:4">
      <c r="A72" s="66" t="s">
        <v>203</v>
      </c>
      <c r="B72" s="66" t="s">
        <v>4</v>
      </c>
      <c r="C72" s="66">
        <v>90</v>
      </c>
      <c r="D72" s="66">
        <v>0</v>
      </c>
    </row>
    <row r="73" spans="1:4">
      <c r="A73" s="66" t="s">
        <v>204</v>
      </c>
      <c r="B73" s="66" t="s">
        <v>4</v>
      </c>
      <c r="C73" s="66">
        <v>90</v>
      </c>
      <c r="D73" s="66">
        <v>246</v>
      </c>
    </row>
    <row r="74" spans="1:4">
      <c r="A74" s="66" t="s">
        <v>205</v>
      </c>
      <c r="B74" s="66" t="s">
        <v>4</v>
      </c>
      <c r="C74" s="66">
        <v>95</v>
      </c>
      <c r="D74" s="66">
        <v>358</v>
      </c>
    </row>
    <row r="75" spans="1:4">
      <c r="A75" s="66" t="s">
        <v>206</v>
      </c>
      <c r="B75" s="66" t="s">
        <v>4</v>
      </c>
      <c r="C75" s="66">
        <v>95</v>
      </c>
      <c r="D75" s="66">
        <v>387</v>
      </c>
    </row>
    <row r="76" spans="1:4">
      <c r="A76" s="66" t="s">
        <v>207</v>
      </c>
      <c r="B76" s="66" t="s">
        <v>4</v>
      </c>
      <c r="C76" s="66">
        <v>100</v>
      </c>
      <c r="D76" s="66">
        <v>443</v>
      </c>
    </row>
    <row r="77" spans="1:4">
      <c r="A77" s="66" t="s">
        <v>208</v>
      </c>
      <c r="B77" s="66" t="s">
        <v>209</v>
      </c>
      <c r="C77" s="66">
        <v>80</v>
      </c>
      <c r="D77" s="66">
        <v>15</v>
      </c>
    </row>
    <row r="78" spans="1:4">
      <c r="A78" s="66" t="s">
        <v>210</v>
      </c>
      <c r="B78" s="66" t="s">
        <v>209</v>
      </c>
      <c r="C78" s="66">
        <v>80</v>
      </c>
      <c r="D78" s="66">
        <v>244</v>
      </c>
    </row>
    <row r="79" spans="1:4">
      <c r="A79" s="66" t="s">
        <v>211</v>
      </c>
      <c r="B79" s="66" t="s">
        <v>209</v>
      </c>
      <c r="C79" s="66">
        <v>80</v>
      </c>
      <c r="D79" s="66">
        <v>0</v>
      </c>
    </row>
    <row r="80" spans="1:4">
      <c r="A80" s="66" t="s">
        <v>212</v>
      </c>
      <c r="B80" s="66" t="s">
        <v>209</v>
      </c>
      <c r="C80" s="66">
        <v>85</v>
      </c>
      <c r="D80" s="66">
        <v>319</v>
      </c>
    </row>
    <row r="81" spans="1:4">
      <c r="A81" s="66" t="s">
        <v>213</v>
      </c>
      <c r="B81" s="66" t="s">
        <v>209</v>
      </c>
      <c r="C81" s="66">
        <v>90</v>
      </c>
      <c r="D81" s="66">
        <v>0</v>
      </c>
    </row>
    <row r="82" spans="1:4">
      <c r="A82" s="66" t="s">
        <v>214</v>
      </c>
      <c r="B82" s="66" t="s">
        <v>209</v>
      </c>
      <c r="C82" s="66">
        <v>90</v>
      </c>
      <c r="D82" s="66">
        <v>-10</v>
      </c>
    </row>
    <row r="83" spans="1:4">
      <c r="A83" s="66" t="s">
        <v>215</v>
      </c>
      <c r="B83" s="66" t="s">
        <v>209</v>
      </c>
      <c r="C83" s="66">
        <v>90</v>
      </c>
      <c r="D83" s="66">
        <v>221</v>
      </c>
    </row>
    <row r="84" spans="1:4">
      <c r="A84" s="66" t="s">
        <v>216</v>
      </c>
      <c r="B84" s="66" t="s">
        <v>209</v>
      </c>
      <c r="C84" s="66">
        <v>90</v>
      </c>
      <c r="D84" s="66">
        <v>228</v>
      </c>
    </row>
    <row r="85" spans="1:4">
      <c r="A85" s="66" t="s">
        <v>217</v>
      </c>
      <c r="B85" s="66" t="s">
        <v>209</v>
      </c>
      <c r="C85" s="66">
        <v>90</v>
      </c>
      <c r="D85" s="66">
        <v>354</v>
      </c>
    </row>
    <row r="86" spans="1:4">
      <c r="A86" s="66" t="s">
        <v>218</v>
      </c>
      <c r="B86" s="66" t="s">
        <v>209</v>
      </c>
      <c r="C86" s="66">
        <v>90</v>
      </c>
      <c r="D86" s="66">
        <v>159</v>
      </c>
    </row>
    <row r="87" spans="1:4">
      <c r="A87" s="66" t="s">
        <v>219</v>
      </c>
      <c r="B87" s="66" t="s">
        <v>209</v>
      </c>
      <c r="C87" s="66">
        <v>90</v>
      </c>
      <c r="D87" s="66">
        <v>177</v>
      </c>
    </row>
    <row r="88" spans="1:4">
      <c r="A88" s="66" t="s">
        <v>220</v>
      </c>
      <c r="B88" s="66" t="s">
        <v>209</v>
      </c>
      <c r="C88" s="66">
        <v>90</v>
      </c>
      <c r="D88" s="66">
        <v>156</v>
      </c>
    </row>
    <row r="89" spans="1:4">
      <c r="A89" s="66" t="s">
        <v>221</v>
      </c>
      <c r="B89" s="66" t="s">
        <v>209</v>
      </c>
      <c r="C89" s="66">
        <v>90</v>
      </c>
      <c r="D89" s="66">
        <v>223</v>
      </c>
    </row>
    <row r="90" spans="1:4">
      <c r="A90" s="66" t="s">
        <v>222</v>
      </c>
      <c r="B90" s="66" t="s">
        <v>209</v>
      </c>
      <c r="C90" s="66">
        <v>90</v>
      </c>
      <c r="D90" s="66">
        <v>216</v>
      </c>
    </row>
    <row r="91" spans="1:4">
      <c r="A91" s="66" t="s">
        <v>223</v>
      </c>
      <c r="B91" s="66" t="s">
        <v>209</v>
      </c>
      <c r="C91" s="66">
        <v>90</v>
      </c>
      <c r="D91" s="66">
        <v>260</v>
      </c>
    </row>
    <row r="92" spans="1:4">
      <c r="A92" s="66" t="s">
        <v>224</v>
      </c>
      <c r="B92" s="66" t="s">
        <v>1</v>
      </c>
      <c r="C92" s="66">
        <v>80</v>
      </c>
      <c r="D92" s="66">
        <v>90</v>
      </c>
    </row>
    <row r="93" spans="1:4">
      <c r="A93" s="66" t="s">
        <v>225</v>
      </c>
      <c r="B93" s="66" t="s">
        <v>1</v>
      </c>
      <c r="C93" s="66">
        <v>80</v>
      </c>
      <c r="D93" s="66">
        <v>6</v>
      </c>
    </row>
    <row r="94" spans="1:4">
      <c r="A94" s="66" t="s">
        <v>226</v>
      </c>
      <c r="B94" s="66" t="s">
        <v>1</v>
      </c>
      <c r="C94" s="66">
        <v>85</v>
      </c>
      <c r="D94" s="66">
        <v>30</v>
      </c>
    </row>
    <row r="95" spans="1:4">
      <c r="A95" s="66" t="s">
        <v>227</v>
      </c>
      <c r="B95" s="66" t="s">
        <v>1</v>
      </c>
      <c r="C95" s="66">
        <v>85</v>
      </c>
      <c r="D95" s="66">
        <v>0</v>
      </c>
    </row>
    <row r="96" spans="1:4">
      <c r="A96" s="66" t="s">
        <v>228</v>
      </c>
      <c r="B96" s="66" t="s">
        <v>1</v>
      </c>
      <c r="C96" s="66">
        <v>85</v>
      </c>
      <c r="D96" s="66">
        <v>0</v>
      </c>
    </row>
    <row r="97" spans="1:4">
      <c r="A97" s="66" t="s">
        <v>229</v>
      </c>
      <c r="B97" s="66" t="s">
        <v>1</v>
      </c>
      <c r="C97" s="66">
        <v>85</v>
      </c>
      <c r="D97" s="66">
        <v>0</v>
      </c>
    </row>
    <row r="98" spans="1:4">
      <c r="A98" s="66" t="s">
        <v>230</v>
      </c>
      <c r="B98" s="66" t="s">
        <v>1</v>
      </c>
      <c r="C98" s="66">
        <v>85</v>
      </c>
      <c r="D98" s="66">
        <v>251</v>
      </c>
    </row>
    <row r="99" spans="1:4">
      <c r="A99" s="66" t="s">
        <v>231</v>
      </c>
      <c r="B99" s="66" t="s">
        <v>1</v>
      </c>
      <c r="C99" s="66">
        <v>90</v>
      </c>
      <c r="D99" s="66">
        <v>202</v>
      </c>
    </row>
    <row r="100" spans="1:4">
      <c r="A100" s="66" t="s">
        <v>232</v>
      </c>
      <c r="B100" s="66" t="s">
        <v>1</v>
      </c>
      <c r="C100" s="66">
        <v>90</v>
      </c>
      <c r="D100" s="66">
        <v>287</v>
      </c>
    </row>
    <row r="101" spans="1:4">
      <c r="A101" s="66" t="s">
        <v>233</v>
      </c>
      <c r="B101" s="66" t="s">
        <v>1</v>
      </c>
      <c r="C101" s="66">
        <v>90</v>
      </c>
      <c r="D101" s="66">
        <v>312</v>
      </c>
    </row>
    <row r="102" spans="1:4">
      <c r="A102" s="66" t="s">
        <v>234</v>
      </c>
      <c r="B102" s="66" t="s">
        <v>1</v>
      </c>
      <c r="C102" s="66">
        <v>90</v>
      </c>
      <c r="D102" s="66">
        <v>219</v>
      </c>
    </row>
    <row r="103" spans="1:4">
      <c r="A103" s="66" t="s">
        <v>235</v>
      </c>
      <c r="B103" s="66" t="s">
        <v>1</v>
      </c>
      <c r="C103" s="66">
        <v>90</v>
      </c>
      <c r="D103" s="66">
        <v>200</v>
      </c>
    </row>
    <row r="104" spans="1:4">
      <c r="A104" s="66" t="s">
        <v>236</v>
      </c>
      <c r="B104" s="66" t="s">
        <v>1</v>
      </c>
      <c r="C104" s="66">
        <v>90</v>
      </c>
      <c r="D104" s="66">
        <v>150</v>
      </c>
    </row>
    <row r="105" spans="1:4">
      <c r="A105" s="66" t="s">
        <v>237</v>
      </c>
      <c r="B105" s="66" t="s">
        <v>1</v>
      </c>
      <c r="C105" s="66">
        <v>95</v>
      </c>
      <c r="D105" s="66">
        <v>126</v>
      </c>
    </row>
    <row r="106" spans="1:4">
      <c r="A106" s="66" t="s">
        <v>238</v>
      </c>
      <c r="B106" s="66" t="s">
        <v>1</v>
      </c>
      <c r="C106" s="66">
        <v>95</v>
      </c>
      <c r="D106" s="66">
        <v>212</v>
      </c>
    </row>
    <row r="107" spans="1:4">
      <c r="A107" s="66" t="s">
        <v>239</v>
      </c>
      <c r="B107" s="66" t="s">
        <v>3</v>
      </c>
      <c r="C107" s="66">
        <v>80</v>
      </c>
      <c r="D107" s="66">
        <v>23</v>
      </c>
    </row>
    <row r="108" spans="1:4">
      <c r="A108" s="66" t="s">
        <v>240</v>
      </c>
      <c r="B108" s="66" t="s">
        <v>3</v>
      </c>
      <c r="C108" s="66">
        <v>85</v>
      </c>
      <c r="D108" s="66">
        <v>10</v>
      </c>
    </row>
    <row r="109" spans="1:4">
      <c r="A109" s="66" t="s">
        <v>241</v>
      </c>
      <c r="B109" s="66" t="s">
        <v>3</v>
      </c>
      <c r="C109" s="66">
        <v>85</v>
      </c>
      <c r="D109" s="66">
        <v>24</v>
      </c>
    </row>
    <row r="110" spans="1:4">
      <c r="A110" s="66" t="s">
        <v>242</v>
      </c>
      <c r="B110" s="66" t="s">
        <v>3</v>
      </c>
      <c r="C110" s="66">
        <v>85</v>
      </c>
      <c r="D110" s="66">
        <v>91</v>
      </c>
    </row>
    <row r="111" spans="1:4">
      <c r="A111" s="66" t="s">
        <v>243</v>
      </c>
      <c r="B111" s="66" t="s">
        <v>3</v>
      </c>
      <c r="C111" s="66">
        <v>85</v>
      </c>
      <c r="D111" s="66">
        <v>0</v>
      </c>
    </row>
    <row r="112" spans="1:4">
      <c r="A112" s="66" t="s">
        <v>244</v>
      </c>
      <c r="B112" s="66" t="s">
        <v>3</v>
      </c>
      <c r="C112" s="66">
        <v>85</v>
      </c>
      <c r="D112" s="66">
        <v>20</v>
      </c>
    </row>
    <row r="113" spans="1:4">
      <c r="A113" s="66" t="s">
        <v>245</v>
      </c>
      <c r="B113" s="66" t="s">
        <v>3</v>
      </c>
      <c r="C113" s="66">
        <v>90</v>
      </c>
      <c r="D113" s="66">
        <v>64</v>
      </c>
    </row>
    <row r="114" spans="1:4">
      <c r="A114" s="66" t="s">
        <v>246</v>
      </c>
      <c r="B114" s="66" t="s">
        <v>3</v>
      </c>
      <c r="C114" s="66">
        <v>90</v>
      </c>
      <c r="D114" s="66">
        <v>134</v>
      </c>
    </row>
    <row r="115" spans="1:4">
      <c r="A115" s="66" t="s">
        <v>247</v>
      </c>
      <c r="B115" s="66" t="s">
        <v>3</v>
      </c>
      <c r="C115" s="66">
        <v>90</v>
      </c>
      <c r="D115" s="66">
        <v>37</v>
      </c>
    </row>
    <row r="116" spans="1:4">
      <c r="A116" s="66" t="s">
        <v>248</v>
      </c>
      <c r="B116" s="66" t="s">
        <v>3</v>
      </c>
      <c r="C116" s="66">
        <v>90</v>
      </c>
      <c r="D116" s="66">
        <v>45</v>
      </c>
    </row>
    <row r="117" spans="1:4">
      <c r="A117" s="66" t="s">
        <v>249</v>
      </c>
      <c r="B117" s="66" t="s">
        <v>3</v>
      </c>
      <c r="C117" s="66">
        <v>90</v>
      </c>
      <c r="D117" s="66">
        <v>133</v>
      </c>
    </row>
    <row r="118" spans="1:4">
      <c r="A118" s="66" t="s">
        <v>250</v>
      </c>
      <c r="B118" s="66" t="s">
        <v>3</v>
      </c>
      <c r="C118" s="66">
        <v>90</v>
      </c>
      <c r="D118" s="66">
        <v>321</v>
      </c>
    </row>
    <row r="119" spans="1:4">
      <c r="A119" s="66" t="s">
        <v>251</v>
      </c>
      <c r="B119" s="66" t="s">
        <v>3</v>
      </c>
      <c r="C119" s="66">
        <v>90</v>
      </c>
      <c r="D119" s="66">
        <v>372</v>
      </c>
    </row>
    <row r="120" spans="1:4">
      <c r="A120" s="66" t="s">
        <v>252</v>
      </c>
      <c r="B120" s="66" t="s">
        <v>3</v>
      </c>
      <c r="C120" s="66">
        <v>90</v>
      </c>
      <c r="D120" s="66">
        <v>129</v>
      </c>
    </row>
    <row r="121" spans="1:4">
      <c r="A121" s="66" t="s">
        <v>253</v>
      </c>
      <c r="B121" s="66" t="s">
        <v>3</v>
      </c>
      <c r="C121" s="66">
        <v>95</v>
      </c>
      <c r="D121" s="66">
        <v>353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8EB71-6969-495C-AA4A-7AF9CA94043E}">
  <dimension ref="A1:AB50"/>
  <sheetViews>
    <sheetView tabSelected="1" topLeftCell="H28" workbookViewId="0">
      <selection activeCell="T46" sqref="T46"/>
    </sheetView>
  </sheetViews>
  <sheetFormatPr defaultColWidth="9.140625" defaultRowHeight="15"/>
  <cols>
    <col min="1" max="2" width="17.28515625" customWidth="1"/>
    <col min="3" max="3" width="20.28515625" hidden="1" customWidth="1"/>
    <col min="4" max="4" width="20.28515625" customWidth="1"/>
    <col min="5" max="5" width="25.28515625" customWidth="1"/>
    <col min="6" max="6" width="20" hidden="1" customWidth="1"/>
    <col min="7" max="7" width="24.5703125" bestFit="1" customWidth="1"/>
    <col min="8" max="8" width="20" customWidth="1"/>
    <col min="9" max="9" width="20.140625" hidden="1" customWidth="1"/>
    <col min="10" max="11" width="20.140625" customWidth="1"/>
    <col min="12" max="12" width="17.42578125" hidden="1" customWidth="1"/>
    <col min="13" max="13" width="17.42578125" customWidth="1"/>
    <col min="14" max="14" width="15.85546875" customWidth="1"/>
    <col min="15" max="15" width="17.7109375" hidden="1" customWidth="1"/>
    <col min="16" max="17" width="17.7109375" customWidth="1"/>
    <col min="18" max="18" width="19" hidden="1" customWidth="1"/>
    <col min="19" max="19" width="19" customWidth="1"/>
    <col min="20" max="20" width="21.42578125" customWidth="1"/>
    <col min="21" max="21" width="21.5703125" hidden="1" customWidth="1"/>
    <col min="22" max="22" width="21.5703125" style="3" customWidth="1"/>
    <col min="23" max="23" width="20" customWidth="1"/>
    <col min="24" max="24" width="15.7109375" hidden="1" customWidth="1"/>
    <col min="25" max="25" width="15.7109375" style="3" customWidth="1"/>
    <col min="26" max="26" width="20" customWidth="1"/>
    <col min="27" max="27" width="15.7109375" hidden="1" customWidth="1"/>
    <col min="30" max="30" width="18.5703125" bestFit="1" customWidth="1"/>
  </cols>
  <sheetData>
    <row r="1" spans="1:28">
      <c r="B1" s="4" t="s">
        <v>254</v>
      </c>
      <c r="C1" s="46" t="s">
        <v>255</v>
      </c>
      <c r="D1" s="46" t="s">
        <v>256</v>
      </c>
      <c r="E1" s="46" t="s">
        <v>257</v>
      </c>
      <c r="F1" s="46" t="s">
        <v>255</v>
      </c>
      <c r="G1" s="46" t="s">
        <v>256</v>
      </c>
      <c r="H1" s="46" t="s">
        <v>258</v>
      </c>
      <c r="I1" s="46" t="s">
        <v>255</v>
      </c>
      <c r="J1" s="46" t="s">
        <v>256</v>
      </c>
      <c r="K1" s="46" t="s">
        <v>259</v>
      </c>
      <c r="L1" s="46" t="s">
        <v>255</v>
      </c>
      <c r="M1" s="46" t="s">
        <v>256</v>
      </c>
      <c r="N1" s="46" t="s">
        <v>260</v>
      </c>
      <c r="O1" s="46" t="s">
        <v>255</v>
      </c>
      <c r="P1" s="46" t="s">
        <v>256</v>
      </c>
      <c r="Q1" s="46" t="s">
        <v>261</v>
      </c>
      <c r="R1" s="46" t="s">
        <v>255</v>
      </c>
      <c r="S1" s="46" t="s">
        <v>256</v>
      </c>
      <c r="T1" s="46" t="s">
        <v>262</v>
      </c>
      <c r="U1" s="46" t="s">
        <v>255</v>
      </c>
      <c r="V1" s="69" t="s">
        <v>256</v>
      </c>
      <c r="W1" s="46" t="s">
        <v>263</v>
      </c>
      <c r="X1" s="46" t="s">
        <v>255</v>
      </c>
      <c r="Y1" s="69" t="s">
        <v>256</v>
      </c>
      <c r="Z1" s="46" t="s">
        <v>264</v>
      </c>
      <c r="AA1" s="46" t="s">
        <v>255</v>
      </c>
      <c r="AB1" s="46" t="s">
        <v>256</v>
      </c>
    </row>
    <row r="2" spans="1:28" s="47" customFormat="1">
      <c r="A2" s="47" t="s">
        <v>265</v>
      </c>
      <c r="B2" s="47" t="s">
        <v>165</v>
      </c>
      <c r="C2" s="48">
        <v>21</v>
      </c>
      <c r="D2" s="48">
        <f>INDEX(Fanz!D:D, MATCH(B2, Fanz!A:A, 0))</f>
        <v>393</v>
      </c>
      <c r="E2" s="49" t="s">
        <v>207</v>
      </c>
      <c r="F2" s="48">
        <v>29</v>
      </c>
      <c r="G2" s="48">
        <f>INDEX(Fanz!D:D, MATCH(E2, Fanz!A:A, 0))</f>
        <v>443</v>
      </c>
      <c r="H2" s="47" t="s">
        <v>219</v>
      </c>
      <c r="I2" s="48">
        <v>98</v>
      </c>
      <c r="J2" s="48">
        <f>INDEX(Fanz!D:D, MATCH(H2, Fanz!A:A, 0))</f>
        <v>177</v>
      </c>
      <c r="K2" s="47" t="s">
        <v>199</v>
      </c>
      <c r="L2" s="48">
        <v>19</v>
      </c>
      <c r="M2" s="48">
        <f>INDEX(Fanz!D:D, MATCH(K2, Fanz!A:A, 0))</f>
        <v>330</v>
      </c>
      <c r="N2" s="47" t="s">
        <v>251</v>
      </c>
      <c r="O2" s="48">
        <v>284</v>
      </c>
      <c r="P2" s="48">
        <f>INDEX(Fanz!D:D, MATCH(N2, Fanz!A:A, 0))</f>
        <v>372</v>
      </c>
      <c r="Q2" s="47" t="s">
        <v>200</v>
      </c>
      <c r="R2" s="48">
        <v>204</v>
      </c>
      <c r="S2" s="48">
        <f>INDEX(Fanz!D:D, MATCH(Q2, Fanz!A:A, 0))</f>
        <v>297</v>
      </c>
      <c r="T2" s="47" t="s">
        <v>234</v>
      </c>
      <c r="U2" s="48">
        <v>8</v>
      </c>
      <c r="V2" s="48">
        <f>INDEX(Fanz!D:D, MATCH(T2, Fanz!A:A, 0))</f>
        <v>219</v>
      </c>
      <c r="W2" s="47" t="s">
        <v>237</v>
      </c>
      <c r="X2" s="48">
        <v>7</v>
      </c>
      <c r="Y2" s="48">
        <f>INDEX(Fanz!D:D, MATCH(W2, Fanz!A:A, 0))</f>
        <v>126</v>
      </c>
      <c r="Z2" s="47" t="s">
        <v>149</v>
      </c>
      <c r="AA2" s="48">
        <v>91</v>
      </c>
      <c r="AB2" s="47">
        <f>INDEX(Fanz!D:D, MATCH(Z2, Fanz!A:A, 0))</f>
        <v>114</v>
      </c>
    </row>
    <row r="3" spans="1:28" s="47" customFormat="1">
      <c r="A3" s="47" t="s">
        <v>130</v>
      </c>
      <c r="B3" s="47" t="s">
        <v>159</v>
      </c>
      <c r="C3" s="50">
        <v>-1</v>
      </c>
      <c r="D3" s="48">
        <f>INDEX(Fanz!D:D, MATCH(B3, Fanz!A:A, 0))</f>
        <v>36</v>
      </c>
      <c r="E3" s="49" t="s">
        <v>233</v>
      </c>
      <c r="F3" s="50">
        <v>271</v>
      </c>
      <c r="G3" s="48">
        <f>INDEX(Fanz!D:D, MATCH(E3, Fanz!A:A, 0))</f>
        <v>312</v>
      </c>
      <c r="H3" s="49" t="s">
        <v>218</v>
      </c>
      <c r="I3" s="50">
        <v>0</v>
      </c>
      <c r="J3" s="48">
        <f>INDEX(Fanz!D:D, MATCH(H3, Fanz!A:A, 0))</f>
        <v>159</v>
      </c>
      <c r="K3" s="47" t="s">
        <v>177</v>
      </c>
      <c r="L3" s="50">
        <v>-10</v>
      </c>
      <c r="M3" s="48">
        <f>INDEX(Fanz!D:D, MATCH(K3, Fanz!A:A, 0))</f>
        <v>2</v>
      </c>
      <c r="N3" s="47" t="s">
        <v>44</v>
      </c>
      <c r="O3" s="50">
        <v>73</v>
      </c>
      <c r="P3" s="48">
        <f>INDEX(Fanz!D:D, MATCH(N3, Fanz!A:A, 0))</f>
        <v>275</v>
      </c>
      <c r="Q3" s="47" t="s">
        <v>232</v>
      </c>
      <c r="R3" s="50">
        <v>155</v>
      </c>
      <c r="S3" s="48">
        <f>INDEX(Fanz!D:D, MATCH(Q3, Fanz!A:A, 0))</f>
        <v>287</v>
      </c>
      <c r="T3" s="47" t="s">
        <v>190</v>
      </c>
      <c r="U3" s="50">
        <v>22</v>
      </c>
      <c r="V3" s="48">
        <f>INDEX(Fanz!D:D, MATCH(T3, Fanz!A:A, 0))</f>
        <v>18</v>
      </c>
      <c r="W3" s="47" t="s">
        <v>158</v>
      </c>
      <c r="X3" s="50">
        <v>258</v>
      </c>
      <c r="Y3" s="48">
        <f>INDEX(Fanz!D:D, MATCH(W3, Fanz!A:A, 0))</f>
        <v>371</v>
      </c>
      <c r="AA3" s="50"/>
    </row>
    <row r="4" spans="1:28" s="47" customFormat="1">
      <c r="A4" s="47" t="s">
        <v>131</v>
      </c>
      <c r="B4" s="47" t="s">
        <v>221</v>
      </c>
      <c r="C4" s="50">
        <v>50</v>
      </c>
      <c r="D4" s="48">
        <f>INDEX(Fanz!D:D, MATCH(B4, Fanz!A:A, 0))</f>
        <v>223</v>
      </c>
      <c r="E4" s="47" t="s">
        <v>204</v>
      </c>
      <c r="F4" s="50">
        <v>15</v>
      </c>
      <c r="G4" s="48">
        <f>INDEX(Fanz!D:D, MATCH(E4, Fanz!A:A, 0))</f>
        <v>246</v>
      </c>
      <c r="H4" s="49" t="s">
        <v>202</v>
      </c>
      <c r="I4" s="50">
        <v>95</v>
      </c>
      <c r="J4" s="48">
        <f>INDEX(Fanz!D:D, MATCH(H4, Fanz!A:A, 0))</f>
        <v>386</v>
      </c>
      <c r="K4" s="47" t="s">
        <v>238</v>
      </c>
      <c r="L4" s="50">
        <v>120</v>
      </c>
      <c r="M4" s="48">
        <f>INDEX(Fanz!D:D, MATCH(K4, Fanz!A:A, 0))</f>
        <v>212</v>
      </c>
      <c r="N4" s="47" t="s">
        <v>160</v>
      </c>
      <c r="O4" s="50">
        <v>162</v>
      </c>
      <c r="P4" s="48">
        <f>INDEX(Fanz!D:D, MATCH(N4, Fanz!A:A, 0))</f>
        <v>428</v>
      </c>
      <c r="Q4" s="47" t="s">
        <v>164</v>
      </c>
      <c r="R4" s="50">
        <v>0</v>
      </c>
      <c r="S4" s="48">
        <f>INDEX(Fanz!D:D, MATCH(Q4, Fanz!A:A, 0))</f>
        <v>165</v>
      </c>
      <c r="T4" s="47" t="s">
        <v>246</v>
      </c>
      <c r="U4" s="50">
        <v>49</v>
      </c>
      <c r="V4" s="48">
        <f>INDEX(Fanz!D:D, MATCH(T4, Fanz!A:A, 0))</f>
        <v>134</v>
      </c>
      <c r="W4" s="47" t="s">
        <v>205</v>
      </c>
      <c r="X4" s="50">
        <v>20</v>
      </c>
      <c r="Y4" s="48">
        <f>INDEX(Fanz!D:D, MATCH(W4, Fanz!A:A, 0))</f>
        <v>358</v>
      </c>
      <c r="AA4" s="50"/>
    </row>
    <row r="5" spans="1:28" s="47" customFormat="1">
      <c r="A5" s="47" t="s">
        <v>266</v>
      </c>
      <c r="B5" s="47" t="s">
        <v>224</v>
      </c>
      <c r="C5" s="50">
        <v>5</v>
      </c>
      <c r="D5" s="48">
        <f>INDEX(Fanz!D:D, MATCH(B5, Fanz!A:A, 0))</f>
        <v>90</v>
      </c>
      <c r="E5" s="47" t="s">
        <v>162</v>
      </c>
      <c r="F5" s="50">
        <v>100</v>
      </c>
      <c r="G5" s="48">
        <f>INDEX(Fanz!D:D, MATCH(E5, Fanz!A:A, 0))</f>
        <v>382</v>
      </c>
      <c r="H5" s="47" t="s">
        <v>145</v>
      </c>
      <c r="I5" s="50">
        <v>40</v>
      </c>
      <c r="J5" s="48">
        <f>INDEX(Fanz!D:D, MATCH(H5, Fanz!A:A, 0))</f>
        <v>85</v>
      </c>
      <c r="K5" s="47" t="s">
        <v>147</v>
      </c>
      <c r="L5" s="50">
        <v>73</v>
      </c>
      <c r="M5" s="48">
        <f>INDEX(Fanz!D:D, MATCH(K5, Fanz!A:A, 0))</f>
        <v>94</v>
      </c>
      <c r="N5" s="47" t="s">
        <v>220</v>
      </c>
      <c r="O5" s="50">
        <v>50</v>
      </c>
      <c r="P5" s="48">
        <f>INDEX(Fanz!D:D, MATCH(N5, Fanz!A:A, 0))</f>
        <v>156</v>
      </c>
      <c r="Q5" s="47" t="s">
        <v>151</v>
      </c>
      <c r="R5" s="50">
        <v>100</v>
      </c>
      <c r="S5" s="48">
        <f>INDEX(Fanz!D:D, MATCH(Q5, Fanz!A:A, 0))</f>
        <v>251</v>
      </c>
      <c r="T5" s="47" t="s">
        <v>198</v>
      </c>
      <c r="U5" s="50">
        <v>185</v>
      </c>
      <c r="V5" s="48">
        <f>INDEX(Fanz!D:D, MATCH(T5, Fanz!A:A, 0))</f>
        <v>355</v>
      </c>
      <c r="W5" s="47" t="s">
        <v>201</v>
      </c>
      <c r="X5" s="50">
        <v>15</v>
      </c>
      <c r="Y5" s="48">
        <f>INDEX(Fanz!D:D, MATCH(W5, Fanz!A:A, 0))</f>
        <v>286</v>
      </c>
      <c r="Z5" s="47" t="s">
        <v>146</v>
      </c>
      <c r="AA5" s="50">
        <v>99</v>
      </c>
      <c r="AB5" s="47">
        <f>INDEX(Fanz!D:D, MATCH(Z5, Fanz!A:A, 0))</f>
        <v>117</v>
      </c>
    </row>
    <row r="6" spans="1:28" s="52" customFormat="1">
      <c r="A6" s="70" t="s">
        <v>267</v>
      </c>
      <c r="B6" s="52" t="s">
        <v>189</v>
      </c>
      <c r="C6" s="51">
        <v>9</v>
      </c>
      <c r="D6" s="51">
        <f>INDEX(Fanz!D:D, MATCH(B6, Fanz!A:A, 0))</f>
        <v>361</v>
      </c>
      <c r="E6" s="52" t="s">
        <v>206</v>
      </c>
      <c r="F6" s="51">
        <v>75</v>
      </c>
      <c r="G6" s="51">
        <f>INDEX(Fanz!D:D, MATCH(E6, Fanz!A:A, 0))</f>
        <v>387</v>
      </c>
      <c r="H6" s="52" t="s">
        <v>252</v>
      </c>
      <c r="I6" s="51">
        <v>70</v>
      </c>
      <c r="J6" s="51">
        <f>INDEX(Fanz!D:D, MATCH(H6, Fanz!A:A, 0))</f>
        <v>129</v>
      </c>
      <c r="K6" s="52" t="s">
        <v>161</v>
      </c>
      <c r="L6" s="51">
        <v>0</v>
      </c>
      <c r="M6" s="51">
        <f>INDEX(Fanz!D:D, MATCH(K6, Fanz!A:A, 0))</f>
        <v>686</v>
      </c>
      <c r="N6" s="52" t="s">
        <v>144</v>
      </c>
      <c r="O6" s="51">
        <v>109</v>
      </c>
      <c r="P6" s="51">
        <f>INDEX(Fanz!D:D, MATCH(N6, Fanz!A:A, 0))</f>
        <v>118</v>
      </c>
      <c r="Q6" s="52" t="s">
        <v>173</v>
      </c>
      <c r="R6" s="51">
        <v>27</v>
      </c>
      <c r="S6" s="51">
        <f>INDEX(Fanz!D:D, MATCH(Q6, Fanz!A:A, 0))</f>
        <v>57</v>
      </c>
      <c r="T6" s="52" t="s">
        <v>222</v>
      </c>
      <c r="U6" s="51">
        <v>129</v>
      </c>
      <c r="V6" s="51">
        <f>INDEX(Fanz!D:D, MATCH(T6, Fanz!A:A, 0))</f>
        <v>216</v>
      </c>
      <c r="W6" s="52" t="s">
        <v>212</v>
      </c>
      <c r="X6" s="51">
        <v>227</v>
      </c>
      <c r="Y6" s="51">
        <f>INDEX(Fanz!D:D, MATCH(W6, Fanz!A:A, 0))</f>
        <v>319</v>
      </c>
      <c r="AA6" s="51"/>
    </row>
    <row r="7" spans="1:28" s="52" customFormat="1">
      <c r="A7" s="70"/>
      <c r="B7" s="52" t="s">
        <v>268</v>
      </c>
      <c r="C7" s="51">
        <v>0</v>
      </c>
      <c r="D7" s="51">
        <f>INDEX(Fanz!D:D, MATCH(B7, Fanz!A:A, 0))</f>
        <v>33</v>
      </c>
      <c r="E7" s="52" t="s">
        <v>157</v>
      </c>
      <c r="F7" s="53">
        <v>75</v>
      </c>
      <c r="G7" s="51">
        <f>INDEX(Fanz!D:D, MATCH(E7, Fanz!A:A, 0))</f>
        <v>549</v>
      </c>
      <c r="H7" s="52" t="s">
        <v>269</v>
      </c>
      <c r="I7" s="51">
        <v>65</v>
      </c>
      <c r="J7" s="51">
        <f>INDEX(Fanz!D:D, MATCH(H7, Fanz!A:A, 0))</f>
        <v>221</v>
      </c>
      <c r="K7" s="67" t="s">
        <v>126</v>
      </c>
      <c r="L7" s="51">
        <v>27</v>
      </c>
      <c r="M7" s="51">
        <v>27</v>
      </c>
      <c r="N7" s="52" t="s">
        <v>166</v>
      </c>
      <c r="O7" s="51">
        <v>0</v>
      </c>
      <c r="P7" s="51">
        <f>INDEX(Fanz!D:D, MATCH(N7, Fanz!A:A, 0))</f>
        <v>0</v>
      </c>
      <c r="Q7" s="52" t="s">
        <v>193</v>
      </c>
      <c r="R7" s="51">
        <v>39</v>
      </c>
      <c r="S7" s="51">
        <f>INDEX(Fanz!D:D, MATCH(Q7, Fanz!A:A, 0))</f>
        <v>113</v>
      </c>
      <c r="T7" s="52" t="s">
        <v>217</v>
      </c>
      <c r="U7" s="51">
        <v>108</v>
      </c>
      <c r="V7" s="51">
        <f>INDEX(Fanz!D:D, MATCH(T7, Fanz!A:A, 0))</f>
        <v>354</v>
      </c>
      <c r="W7" s="52" t="s">
        <v>270</v>
      </c>
      <c r="X7" s="51">
        <v>17</v>
      </c>
      <c r="Y7" s="51">
        <f>INDEX(Fanz!D:D, MATCH(W7, Fanz!A:A, 0))</f>
        <v>45</v>
      </c>
      <c r="AA7" s="51"/>
    </row>
    <row r="8" spans="1:28" s="52" customFormat="1">
      <c r="A8" s="70"/>
      <c r="B8" s="52" t="s">
        <v>186</v>
      </c>
      <c r="C8" s="51">
        <v>26</v>
      </c>
      <c r="D8" s="51">
        <f>INDEX(Fanz!D:D, MATCH(B8, Fanz!A:A, 0))</f>
        <v>42</v>
      </c>
      <c r="E8" s="52" t="s">
        <v>155</v>
      </c>
      <c r="F8" s="53">
        <v>25</v>
      </c>
      <c r="G8" s="51">
        <f>INDEX(Fanz!D:D, MATCH(E8, Fanz!A:A, 0))</f>
        <v>25</v>
      </c>
      <c r="H8" s="52" t="s">
        <v>141</v>
      </c>
      <c r="I8" s="51">
        <v>-14</v>
      </c>
      <c r="J8" s="51">
        <f>INDEX(Fanz!D:D, MATCH(H8, Fanz!A:A, 0))</f>
        <v>68</v>
      </c>
      <c r="K8" s="54" t="s">
        <v>34</v>
      </c>
      <c r="L8" s="51">
        <v>0</v>
      </c>
      <c r="M8" s="51">
        <f>INDEX(Fanz!D:D, MATCH(K8, Fanz!A:A, 0))</f>
        <v>14</v>
      </c>
      <c r="N8" s="52" t="s">
        <v>242</v>
      </c>
      <c r="O8" s="51">
        <v>0</v>
      </c>
      <c r="P8" s="51">
        <f>INDEX(Fanz!D:D, MATCH(N8, Fanz!A:A, 0))</f>
        <v>91</v>
      </c>
      <c r="Q8" s="54" t="s">
        <v>249</v>
      </c>
      <c r="R8" s="51">
        <v>51</v>
      </c>
      <c r="S8" s="51">
        <f>INDEX(Fanz!D:D, MATCH(Q8, Fanz!A:A, 0))</f>
        <v>133</v>
      </c>
      <c r="T8" s="52" t="s">
        <v>271</v>
      </c>
      <c r="U8" s="51">
        <v>1</v>
      </c>
      <c r="V8" s="51">
        <f>INDEX(Fanz!D:D, MATCH(T8, Fanz!A:A, 0))</f>
        <v>5</v>
      </c>
      <c r="W8" s="52" t="s">
        <v>163</v>
      </c>
      <c r="X8" s="51">
        <v>95</v>
      </c>
      <c r="Y8" s="51">
        <f>INDEX(Fanz!D:D, MATCH(W8, Fanz!A:A, 0))</f>
        <v>430</v>
      </c>
      <c r="AA8" s="51"/>
    </row>
    <row r="9" spans="1:28" s="52" customFormat="1">
      <c r="A9" s="70"/>
      <c r="B9" s="52" t="s">
        <v>183</v>
      </c>
      <c r="C9" s="51">
        <v>0</v>
      </c>
      <c r="D9" s="51">
        <f>INDEX(Fanz!D:D, MATCH(B9, Fanz!A:A, 0))</f>
        <v>0</v>
      </c>
      <c r="E9" s="54" t="s">
        <v>194</v>
      </c>
      <c r="F9" s="53">
        <v>0</v>
      </c>
      <c r="G9" s="51">
        <f>INDEX(Fanz!D:D, MATCH(E9, Fanz!A:A, 0))</f>
        <v>0</v>
      </c>
      <c r="H9" s="52" t="s">
        <v>184</v>
      </c>
      <c r="I9" s="51">
        <v>163</v>
      </c>
      <c r="J9" s="51">
        <f>INDEX(Fanz!D:D, MATCH(H9, Fanz!A:A, 0))</f>
        <v>176</v>
      </c>
      <c r="K9" s="54" t="s">
        <v>192</v>
      </c>
      <c r="L9" s="51">
        <v>7</v>
      </c>
      <c r="M9" s="51">
        <f>INDEX(Fanz!D:D, MATCH(K9, Fanz!A:A, 0))</f>
        <v>47</v>
      </c>
      <c r="N9" s="52" t="s">
        <v>196</v>
      </c>
      <c r="O9" s="51">
        <v>0</v>
      </c>
      <c r="P9" s="51">
        <f>INDEX(Fanz!D:D, MATCH(N9, Fanz!A:A, 0))</f>
        <v>365</v>
      </c>
      <c r="Q9" s="54" t="s">
        <v>150</v>
      </c>
      <c r="R9" s="51">
        <v>34</v>
      </c>
      <c r="S9" s="51">
        <f>INDEX(Fanz!D:D, MATCH(Q9, Fanz!A:A, 0))</f>
        <v>84</v>
      </c>
      <c r="T9" s="52" t="s">
        <v>235</v>
      </c>
      <c r="U9" s="51">
        <v>152</v>
      </c>
      <c r="V9" s="51">
        <f>INDEX(Fanz!D:D, MATCH(T9, Fanz!A:A, 0))</f>
        <v>200</v>
      </c>
      <c r="W9" s="52" t="s">
        <v>153</v>
      </c>
      <c r="X9" s="51">
        <v>0</v>
      </c>
      <c r="Y9" s="51">
        <f>INDEX(Fanz!D:D, MATCH(W9, Fanz!A:A, 0))</f>
        <v>0</v>
      </c>
      <c r="AA9" s="51"/>
    </row>
    <row r="10" spans="1:28" s="52" customFormat="1">
      <c r="A10" s="70"/>
      <c r="B10" s="52" t="s">
        <v>182</v>
      </c>
      <c r="C10" s="51">
        <v>0</v>
      </c>
      <c r="D10" s="51">
        <f>INDEX(Fanz!D:D, MATCH(B10, Fanz!A:A, 0))</f>
        <v>0</v>
      </c>
      <c r="E10" s="52" t="s">
        <v>236</v>
      </c>
      <c r="F10" s="53">
        <v>30</v>
      </c>
      <c r="G10" s="51">
        <f>INDEX(Fanz!D:D, MATCH(E10, Fanz!A:A, 0))</f>
        <v>150</v>
      </c>
      <c r="H10" s="54" t="s">
        <v>174</v>
      </c>
      <c r="I10" s="51">
        <v>-5</v>
      </c>
      <c r="J10" s="51">
        <f>INDEX(Fanz!D:D, MATCH(H10, Fanz!A:A, 0))</f>
        <v>-5</v>
      </c>
      <c r="K10" s="54" t="s">
        <v>231</v>
      </c>
      <c r="L10" s="51">
        <v>65</v>
      </c>
      <c r="M10" s="51">
        <f>INDEX(Fanz!D:D, MATCH(K10, Fanz!A:A, 0))</f>
        <v>202</v>
      </c>
      <c r="N10" s="52" t="s">
        <v>195</v>
      </c>
      <c r="O10" s="51">
        <v>105</v>
      </c>
      <c r="P10" s="51">
        <f>INDEX(Fanz!D:D, MATCH(N10, Fanz!A:A, 0))</f>
        <v>150</v>
      </c>
      <c r="Q10" s="54" t="s">
        <v>213</v>
      </c>
      <c r="R10" s="51">
        <v>0</v>
      </c>
      <c r="S10" s="51">
        <f>INDEX(Fanz!D:D, MATCH(Q10, Fanz!A:A, 0))</f>
        <v>0</v>
      </c>
      <c r="T10" s="52" t="s">
        <v>170</v>
      </c>
      <c r="U10" s="51">
        <v>0</v>
      </c>
      <c r="V10" s="51">
        <f>INDEX(Fanz!D:D, MATCH(T10, Fanz!A:A, 0))</f>
        <v>10</v>
      </c>
      <c r="W10" s="52" t="s">
        <v>245</v>
      </c>
      <c r="X10" s="51">
        <v>3</v>
      </c>
      <c r="Y10" s="51">
        <f>INDEX(Fanz!D:D, MATCH(W10, Fanz!A:A, 0))</f>
        <v>64</v>
      </c>
      <c r="AA10" s="51"/>
    </row>
    <row r="11" spans="1:28" s="52" customFormat="1">
      <c r="A11" s="70"/>
      <c r="B11" s="52" t="s">
        <v>181</v>
      </c>
      <c r="C11" s="51">
        <v>0</v>
      </c>
      <c r="D11" s="51">
        <f>INDEX(Fanz!D:D, MATCH(B11, Fanz!A:A, 0))</f>
        <v>0</v>
      </c>
      <c r="E11" s="67" t="s">
        <v>45</v>
      </c>
      <c r="F11" s="53">
        <v>0</v>
      </c>
      <c r="G11" s="51">
        <v>0</v>
      </c>
      <c r="H11" s="52" t="s">
        <v>171</v>
      </c>
      <c r="I11" s="51">
        <v>0</v>
      </c>
      <c r="J11" s="51">
        <f>INDEX(Fanz!D:D, MATCH(H11, Fanz!A:A, 0))</f>
        <v>0</v>
      </c>
      <c r="K11" s="52" t="s">
        <v>247</v>
      </c>
      <c r="L11" s="51">
        <v>30</v>
      </c>
      <c r="M11" s="51">
        <f>INDEX(Fanz!D:D, MATCH(K11, Fanz!A:A, 0))</f>
        <v>37</v>
      </c>
      <c r="N11" s="54" t="s">
        <v>244</v>
      </c>
      <c r="O11" s="51">
        <v>0</v>
      </c>
      <c r="P11" s="51">
        <f>INDEX(Fanz!D:D, MATCH(N11, Fanz!A:A, 0))</f>
        <v>20</v>
      </c>
      <c r="Q11" s="54" t="s">
        <v>188</v>
      </c>
      <c r="R11" s="51">
        <v>30</v>
      </c>
      <c r="S11" s="51">
        <f>INDEX(Fanz!D:D, MATCH(Q11, Fanz!A:A, 0))</f>
        <v>50</v>
      </c>
      <c r="T11" s="52" t="s">
        <v>167</v>
      </c>
      <c r="U11" s="51">
        <v>81</v>
      </c>
      <c r="V11" s="51">
        <f>INDEX(Fanz!D:D, MATCH(T11, Fanz!A:A, 0))</f>
        <v>127</v>
      </c>
      <c r="W11" s="52" t="s">
        <v>230</v>
      </c>
      <c r="X11" s="51">
        <v>95</v>
      </c>
      <c r="Y11" s="51">
        <f>INDEX(Fanz!D:D, MATCH(W11, Fanz!A:A, 0))</f>
        <v>251</v>
      </c>
      <c r="AA11" s="51"/>
    </row>
    <row r="12" spans="1:28" s="52" customFormat="1">
      <c r="A12" s="70"/>
      <c r="B12" s="52" t="s">
        <v>225</v>
      </c>
      <c r="C12" s="51">
        <v>0</v>
      </c>
      <c r="D12" s="51">
        <f>INDEX(Fanz!D:D, MATCH(B12, Fanz!A:A, 0))</f>
        <v>6</v>
      </c>
      <c r="E12" s="52" t="s">
        <v>176</v>
      </c>
      <c r="F12" s="53">
        <v>0</v>
      </c>
      <c r="G12" s="51">
        <f>INDEX(Fanz!D:D, MATCH(E12, Fanz!A:A, 0))</f>
        <v>115</v>
      </c>
      <c r="H12" s="52" t="s">
        <v>152</v>
      </c>
      <c r="I12" s="51">
        <v>186</v>
      </c>
      <c r="J12" s="51">
        <f>INDEX(Fanz!D:D, MATCH(H12, Fanz!A:A, 0))</f>
        <v>250</v>
      </c>
      <c r="K12" s="52" t="s">
        <v>272</v>
      </c>
      <c r="L12" s="51">
        <v>0</v>
      </c>
      <c r="M12" s="51">
        <f>INDEX(Fanz!D:D, MATCH(K12, Fanz!A:A, 0))</f>
        <v>0</v>
      </c>
      <c r="N12" s="54" t="s">
        <v>175</v>
      </c>
      <c r="O12" s="51">
        <v>30</v>
      </c>
      <c r="P12" s="51">
        <f>INDEX(Fanz!D:D, MATCH(N12, Fanz!A:A, 0))</f>
        <v>73</v>
      </c>
      <c r="Q12" s="54" t="s">
        <v>253</v>
      </c>
      <c r="R12" s="51">
        <v>91</v>
      </c>
      <c r="S12" s="51">
        <f>INDEX(Fanz!D:D, MATCH(Q12, Fanz!A:A, 0))</f>
        <v>353</v>
      </c>
      <c r="T12" s="52" t="s">
        <v>240</v>
      </c>
      <c r="U12" s="51">
        <v>0</v>
      </c>
      <c r="V12" s="51">
        <f>INDEX(Fanz!D:D, MATCH(T12, Fanz!A:A, 0))</f>
        <v>10</v>
      </c>
      <c r="X12" s="51"/>
      <c r="Y12" s="51"/>
      <c r="AA12" s="51"/>
    </row>
    <row r="13" spans="1:28" s="52" customFormat="1">
      <c r="A13" s="70"/>
      <c r="B13" s="52" t="s">
        <v>26</v>
      </c>
      <c r="C13" s="51">
        <v>53</v>
      </c>
      <c r="D13" s="51">
        <f>INDEX(Fanz!D:D, MATCH(B13, Fanz!A:A, 0))</f>
        <v>109</v>
      </c>
      <c r="E13" s="52" t="s">
        <v>226</v>
      </c>
      <c r="F13" s="53">
        <v>116</v>
      </c>
      <c r="G13" s="51">
        <f>INDEX(Fanz!D:D, MATCH(E13, Fanz!A:A, 0))</f>
        <v>30</v>
      </c>
      <c r="H13" s="68" t="s">
        <v>273</v>
      </c>
      <c r="I13" s="51">
        <v>0</v>
      </c>
      <c r="J13" s="51">
        <v>0</v>
      </c>
      <c r="K13" s="52" t="s">
        <v>203</v>
      </c>
      <c r="L13" s="51">
        <v>0</v>
      </c>
      <c r="M13" s="51">
        <f>INDEX(Fanz!D:D, MATCH(K13, Fanz!A:A, 0))</f>
        <v>0</v>
      </c>
      <c r="N13" s="54" t="s">
        <v>172</v>
      </c>
      <c r="O13" s="51">
        <v>152</v>
      </c>
      <c r="P13" s="51">
        <f>INDEX(Fanz!D:D, MATCH(N13, Fanz!A:A, 0))</f>
        <v>139</v>
      </c>
      <c r="Q13" s="54" t="s">
        <v>208</v>
      </c>
      <c r="R13" s="51">
        <v>15</v>
      </c>
      <c r="S13" s="51">
        <f>INDEX(Fanz!D:D, MATCH(Q13, Fanz!A:A, 0))</f>
        <v>15</v>
      </c>
      <c r="T13" s="52" t="s">
        <v>187</v>
      </c>
      <c r="U13" s="51">
        <v>58</v>
      </c>
      <c r="V13" s="51">
        <f>INDEX(Fanz!D:D, MATCH(T13, Fanz!A:A, 0))</f>
        <v>268</v>
      </c>
      <c r="X13" s="51"/>
      <c r="Y13" s="51"/>
      <c r="AA13" s="51"/>
    </row>
    <row r="14" spans="1:28" s="52" customFormat="1">
      <c r="A14" s="70"/>
      <c r="B14" s="52" t="s">
        <v>178</v>
      </c>
      <c r="C14" s="51">
        <v>43</v>
      </c>
      <c r="D14" s="51">
        <f>INDEX(Fanz!D:D, MATCH(B14, Fanz!A:A, 0))</f>
        <v>100</v>
      </c>
      <c r="E14" s="52" t="s">
        <v>228</v>
      </c>
      <c r="F14" s="53">
        <v>0</v>
      </c>
      <c r="G14" s="51">
        <f>INDEX(Fanz!D:D, MATCH(E14, Fanz!A:A, 0))</f>
        <v>0</v>
      </c>
      <c r="H14" s="52" t="s">
        <v>179</v>
      </c>
      <c r="I14" s="51">
        <v>0</v>
      </c>
      <c r="J14" s="51">
        <f>INDEX(Fanz!D:D, MATCH(H14, Fanz!A:A, 0))</f>
        <v>0</v>
      </c>
      <c r="K14" s="52" t="s">
        <v>241</v>
      </c>
      <c r="L14" s="51">
        <v>21</v>
      </c>
      <c r="M14" s="51">
        <f>INDEX(Fanz!D:D, MATCH(K14, Fanz!A:A, 0))</f>
        <v>24</v>
      </c>
      <c r="N14" s="54" t="s">
        <v>148</v>
      </c>
      <c r="O14" s="51">
        <v>13</v>
      </c>
      <c r="P14" s="51">
        <f>INDEX(Fanz!D:D, MATCH(N14, Fanz!A:A, 0))</f>
        <v>60</v>
      </c>
      <c r="Q14" s="54" t="s">
        <v>180</v>
      </c>
      <c r="R14" s="51">
        <v>15</v>
      </c>
      <c r="S14" s="51">
        <f>INDEX(Fanz!D:D, MATCH(Q14, Fanz!A:A, 0))</f>
        <v>153</v>
      </c>
      <c r="T14" s="52" t="s">
        <v>156</v>
      </c>
      <c r="U14" s="51">
        <v>0</v>
      </c>
      <c r="V14" s="51">
        <f>INDEX(Fanz!D:D, MATCH(T14, Fanz!A:A, 0))</f>
        <v>0</v>
      </c>
      <c r="X14" s="51"/>
      <c r="Y14" s="51"/>
      <c r="AA14" s="51"/>
    </row>
    <row r="15" spans="1:28" s="52" customFormat="1">
      <c r="A15" s="70"/>
      <c r="B15" s="52" t="s">
        <v>216</v>
      </c>
      <c r="C15" s="51">
        <v>6</v>
      </c>
      <c r="D15" s="51">
        <f>INDEX(Fanz!D:D, MATCH(B15, Fanz!A:A, 0))</f>
        <v>228</v>
      </c>
      <c r="F15" s="53"/>
      <c r="G15" s="53"/>
      <c r="H15" s="54"/>
      <c r="I15" s="51"/>
      <c r="J15" s="51"/>
      <c r="K15" s="54" t="s">
        <v>140</v>
      </c>
      <c r="L15" s="51">
        <v>0</v>
      </c>
      <c r="M15" s="51">
        <f>INDEX(Fanz!D:D, MATCH(K15, Fanz!A:A, 0))</f>
        <v>0</v>
      </c>
      <c r="N15" s="54" t="s">
        <v>214</v>
      </c>
      <c r="O15" s="51">
        <v>0</v>
      </c>
      <c r="P15" s="51">
        <f>INDEX(Fanz!D:D, MATCH(N15, Fanz!A:A, 0))</f>
        <v>-10</v>
      </c>
      <c r="Q15" s="54" t="s">
        <v>136</v>
      </c>
      <c r="R15" s="51">
        <v>10</v>
      </c>
      <c r="S15" s="51">
        <f>INDEX(Fanz!D:D, MATCH(Q15, Fanz!A:A, 0))</f>
        <v>10</v>
      </c>
      <c r="T15" s="52" t="s">
        <v>210</v>
      </c>
      <c r="U15" s="51">
        <v>94</v>
      </c>
      <c r="V15" s="51">
        <f>INDEX(Fanz!D:D, MATCH(T15, Fanz!A:A, 0))</f>
        <v>244</v>
      </c>
      <c r="X15" s="51"/>
      <c r="Y15" s="51"/>
      <c r="AA15" s="51"/>
    </row>
    <row r="16" spans="1:28" s="52" customFormat="1">
      <c r="A16" s="70"/>
      <c r="B16" s="52" t="s">
        <v>243</v>
      </c>
      <c r="C16" s="51">
        <v>0</v>
      </c>
      <c r="D16" s="51">
        <f>INDEX(Fanz!D:D, MATCH(B16, Fanz!A:A, 0))</f>
        <v>0</v>
      </c>
      <c r="F16" s="53"/>
      <c r="G16" s="53"/>
      <c r="H16" s="54"/>
      <c r="I16" s="51"/>
      <c r="J16" s="51"/>
      <c r="K16" s="54"/>
      <c r="L16" s="51"/>
      <c r="M16" s="51"/>
      <c r="O16" s="51"/>
      <c r="P16" s="51"/>
      <c r="Q16" s="54"/>
      <c r="R16" s="51"/>
      <c r="S16" s="51"/>
      <c r="T16" s="52" t="s">
        <v>227</v>
      </c>
      <c r="U16" s="51">
        <v>0</v>
      </c>
      <c r="V16" s="51">
        <f>INDEX(Fanz!D:D, MATCH(T16, Fanz!A:A, 0))</f>
        <v>0</v>
      </c>
      <c r="X16" s="51"/>
      <c r="Y16" s="51"/>
      <c r="AA16" s="51"/>
    </row>
    <row r="17" spans="1:28" s="52" customFormat="1">
      <c r="A17" s="70"/>
      <c r="C17" s="51"/>
      <c r="D17" s="51"/>
      <c r="F17" s="53"/>
      <c r="G17" s="53"/>
      <c r="I17" s="51"/>
      <c r="J17" s="51"/>
      <c r="L17" s="51"/>
      <c r="M17" s="51"/>
      <c r="O17" s="51"/>
      <c r="P17" s="51"/>
      <c r="R17" s="51"/>
      <c r="S17" s="51"/>
      <c r="T17" s="52" t="s">
        <v>191</v>
      </c>
      <c r="U17" s="51">
        <v>49</v>
      </c>
      <c r="V17" s="51">
        <f>INDEX(Fanz!D:D, MATCH(T17, Fanz!A:A, 0))</f>
        <v>486</v>
      </c>
      <c r="X17" s="51"/>
      <c r="Y17" s="51"/>
      <c r="AA17" s="51"/>
    </row>
    <row r="18" spans="1:28" s="52" customFormat="1">
      <c r="A18" s="70"/>
      <c r="C18" s="51"/>
      <c r="D18" s="51"/>
      <c r="F18" s="53"/>
      <c r="G18" s="53"/>
      <c r="I18" s="51"/>
      <c r="J18" s="51"/>
      <c r="L18" s="51"/>
      <c r="M18" s="51"/>
      <c r="O18" s="51"/>
      <c r="P18" s="51"/>
      <c r="R18" s="51"/>
      <c r="S18" s="51"/>
      <c r="T18" s="52" t="s">
        <v>138</v>
      </c>
      <c r="U18" s="51">
        <v>154</v>
      </c>
      <c r="V18" s="51">
        <f>INDEX(Fanz!D:D, MATCH(T18, Fanz!A:A, 0))</f>
        <v>247</v>
      </c>
      <c r="X18" s="51"/>
      <c r="Y18" s="51"/>
      <c r="AA18" s="51"/>
    </row>
    <row r="19" spans="1:28" s="52" customFormat="1">
      <c r="A19" s="70"/>
      <c r="C19" s="51"/>
      <c r="D19" s="51"/>
      <c r="F19" s="53"/>
      <c r="G19" s="53"/>
      <c r="I19" s="51"/>
      <c r="J19" s="51"/>
      <c r="L19" s="51"/>
      <c r="M19" s="51"/>
      <c r="O19" s="51"/>
      <c r="P19" s="51"/>
      <c r="R19" s="51"/>
      <c r="S19" s="51"/>
      <c r="T19" s="52" t="s">
        <v>239</v>
      </c>
      <c r="U19" s="51">
        <v>23</v>
      </c>
      <c r="V19" s="51">
        <v>23</v>
      </c>
      <c r="X19" s="51"/>
      <c r="Y19" s="51"/>
      <c r="AA19" s="51"/>
    </row>
    <row r="20" spans="1:28" s="52" customFormat="1">
      <c r="A20" s="70"/>
      <c r="C20" s="51"/>
      <c r="D20" s="51"/>
      <c r="F20" s="53"/>
      <c r="G20" s="53"/>
      <c r="I20" s="51"/>
      <c r="J20" s="51"/>
      <c r="L20" s="51"/>
      <c r="M20" s="51"/>
      <c r="O20" s="51"/>
      <c r="P20" s="51"/>
      <c r="R20" s="51"/>
      <c r="S20" s="51"/>
      <c r="T20" s="52" t="s">
        <v>229</v>
      </c>
      <c r="U20" s="51">
        <v>0</v>
      </c>
      <c r="V20" s="51">
        <f>INDEX(Fanz!D:D, MATCH(T20, Fanz!A:A, 0))</f>
        <v>0</v>
      </c>
      <c r="X20" s="51"/>
      <c r="Y20" s="51"/>
      <c r="AA20" s="51"/>
    </row>
    <row r="21" spans="1:28" s="52" customFormat="1">
      <c r="A21" s="70"/>
      <c r="C21" s="51"/>
      <c r="D21" s="51"/>
      <c r="F21" s="53"/>
      <c r="G21" s="53"/>
      <c r="I21" s="51"/>
      <c r="J21" s="51"/>
      <c r="L21" s="51"/>
      <c r="M21" s="51"/>
      <c r="O21" s="51"/>
      <c r="P21" s="51"/>
      <c r="R21" s="51"/>
      <c r="S21" s="51"/>
      <c r="T21" s="52" t="s">
        <v>143</v>
      </c>
      <c r="U21" s="51">
        <v>0</v>
      </c>
      <c r="V21" s="51">
        <f>INDEX(Fanz!D:D, MATCH(T21, Fanz!A:A, 0))</f>
        <v>0</v>
      </c>
      <c r="X21" s="51"/>
      <c r="Y21" s="51"/>
      <c r="AA21" s="51"/>
    </row>
    <row r="22" spans="1:28" s="52" customFormat="1">
      <c r="A22" s="70"/>
      <c r="C22" s="51"/>
      <c r="D22" s="51"/>
      <c r="F22" s="53"/>
      <c r="G22" s="53"/>
      <c r="I22" s="51"/>
      <c r="J22" s="51"/>
      <c r="L22" s="51"/>
      <c r="M22" s="51"/>
      <c r="O22" s="51"/>
      <c r="P22" s="51"/>
      <c r="R22" s="51"/>
      <c r="S22" s="51"/>
      <c r="T22" s="52" t="s">
        <v>211</v>
      </c>
      <c r="U22" s="51">
        <v>0</v>
      </c>
      <c r="V22" s="51">
        <f>INDEX(Fanz!D:D, MATCH(T22, Fanz!A:A, 0))</f>
        <v>0</v>
      </c>
      <c r="X22" s="51"/>
      <c r="Y22" s="51"/>
      <c r="AA22" s="51"/>
    </row>
    <row r="23" spans="1:28" s="52" customFormat="1">
      <c r="A23" s="70"/>
      <c r="C23" s="51"/>
      <c r="D23" s="51"/>
      <c r="F23" s="53"/>
      <c r="G23" s="53"/>
      <c r="I23" s="51"/>
      <c r="J23" s="51"/>
      <c r="L23" s="51"/>
      <c r="M23" s="51"/>
      <c r="O23" s="51"/>
      <c r="P23" s="51"/>
      <c r="R23" s="51"/>
      <c r="S23" s="51"/>
      <c r="T23" s="52" t="s">
        <v>168</v>
      </c>
      <c r="U23" s="51">
        <v>130</v>
      </c>
      <c r="V23" s="51">
        <f>INDEX(Fanz!D:D, MATCH(T23, Fanz!A:A, 0))</f>
        <v>215</v>
      </c>
      <c r="X23" s="51"/>
      <c r="Y23" s="51"/>
      <c r="AA23" s="51"/>
    </row>
    <row r="24" spans="1:28" s="52" customFormat="1">
      <c r="A24" s="60"/>
      <c r="C24" s="51"/>
      <c r="D24" s="51"/>
      <c r="F24" s="53"/>
      <c r="G24" s="53"/>
      <c r="I24" s="51"/>
      <c r="J24" s="51"/>
      <c r="L24" s="51"/>
      <c r="M24" s="51"/>
      <c r="O24" s="51"/>
      <c r="P24" s="51"/>
      <c r="R24" s="51"/>
      <c r="S24" s="51"/>
      <c r="T24" s="52" t="s">
        <v>250</v>
      </c>
      <c r="U24" s="51">
        <v>110</v>
      </c>
      <c r="V24" s="51">
        <f>INDEX(Fanz!D:D, MATCH(T24, Fanz!A:A, 0))</f>
        <v>321</v>
      </c>
      <c r="X24" s="51"/>
      <c r="Y24" s="51"/>
      <c r="AA24" s="51"/>
    </row>
    <row r="25" spans="1:28" s="52" customFormat="1">
      <c r="A25" s="60"/>
      <c r="C25" s="51"/>
      <c r="D25" s="51"/>
      <c r="F25" s="53"/>
      <c r="G25" s="53"/>
      <c r="I25" s="51"/>
      <c r="J25" s="51"/>
      <c r="L25" s="51"/>
      <c r="M25" s="51"/>
      <c r="O25" s="51"/>
      <c r="P25" s="51"/>
      <c r="R25" s="51"/>
      <c r="S25" s="51"/>
      <c r="T25" s="52" t="s">
        <v>169</v>
      </c>
      <c r="U25" s="51">
        <v>0</v>
      </c>
      <c r="V25" s="51">
        <f>INDEX(Fanz!D:D, MATCH(T25, Fanz!A:A, 0))</f>
        <v>40</v>
      </c>
      <c r="X25" s="51"/>
      <c r="Y25" s="51"/>
      <c r="AA25" s="51"/>
    </row>
    <row r="26" spans="1:28" s="52" customFormat="1">
      <c r="A26" s="60"/>
      <c r="C26" s="51"/>
      <c r="D26" s="51"/>
      <c r="F26" s="53"/>
      <c r="G26" s="53"/>
      <c r="I26" s="51"/>
      <c r="J26" s="51"/>
      <c r="L26" s="51"/>
      <c r="M26" s="51"/>
      <c r="O26" s="51"/>
      <c r="P26" s="51"/>
      <c r="R26" s="51"/>
      <c r="S26" s="51"/>
      <c r="T26" s="52" t="s">
        <v>223</v>
      </c>
      <c r="U26" s="51">
        <v>125</v>
      </c>
      <c r="V26" s="51">
        <f>INDEX(Fanz!D:D, MATCH(T26, Fanz!A:A, 0))</f>
        <v>260</v>
      </c>
      <c r="X26" s="51"/>
      <c r="Y26" s="51"/>
      <c r="AA26" s="51"/>
    </row>
    <row r="27" spans="1:28" s="52" customFormat="1">
      <c r="A27" s="60"/>
      <c r="C27" s="51"/>
      <c r="D27" s="51"/>
      <c r="F27" s="53"/>
      <c r="G27" s="53"/>
      <c r="I27" s="51"/>
      <c r="J27" s="51"/>
      <c r="L27" s="51"/>
      <c r="M27" s="51"/>
      <c r="O27" s="51"/>
      <c r="P27" s="51"/>
      <c r="R27" s="51"/>
      <c r="S27" s="51"/>
      <c r="T27" s="52" t="s">
        <v>197</v>
      </c>
      <c r="U27" s="51">
        <v>0</v>
      </c>
      <c r="V27" s="51">
        <f>INDEX(Fanz!D:D, MATCH(T27, Fanz!A:A, 0))</f>
        <v>0</v>
      </c>
      <c r="X27" s="51"/>
      <c r="Y27" s="51"/>
      <c r="AA27" s="51"/>
    </row>
    <row r="28" spans="1:28" s="3" customFormat="1">
      <c r="A28" s="62" t="s">
        <v>274</v>
      </c>
      <c r="C28" s="3" cm="1">
        <f t="array" ref="C28">SUM(C2:C5)+SUM(LARGE(C6:C27, {1,2,3,4,5,6,7}))</f>
        <v>212</v>
      </c>
      <c r="D28" s="3" cm="1">
        <f t="array" ref="D28">SUM(D2:D5)+SUM(LARGE(D6:D27, {1,2,3,4,5,6,7}))</f>
        <v>1621</v>
      </c>
      <c r="F28" s="3" cm="1">
        <f t="array" ref="F28">SUM(F2:F5)+SUM(LARGE(F6:F27, {1,2,3,4,5,6,7}))</f>
        <v>736</v>
      </c>
      <c r="G28" s="3" cm="1">
        <f t="array" ref="G28">SUM(G2:G5)+SUM(LARGE(G6:G27, {1,2,3,4,5,6,7}))</f>
        <v>2639</v>
      </c>
      <c r="I28" s="3" cm="1">
        <f t="array" ref="I28">SUM(I2:I5)+SUM(LARGE(I6:I27, {1,2,3,4,5,6,7}))</f>
        <v>717</v>
      </c>
      <c r="J28" s="3" cm="1">
        <f t="array" ref="J28">SUM(J2:J5)+SUM(LARGE(J6:J27, {1,2,3,4,5,6,7}))</f>
        <v>1651</v>
      </c>
      <c r="L28" s="3" cm="1">
        <f t="array" ref="L28">SUM(L2:L5)+SUM(LARGE(L6:L27, {1,2,3,4,5,6,7}))</f>
        <v>352</v>
      </c>
      <c r="M28" s="3" cm="1">
        <f t="array" ref="M28">SUM(M2:M5)+SUM(LARGE(M6:M27, {1,2,3,4,5,6,7}))</f>
        <v>1675</v>
      </c>
      <c r="O28" s="3" cm="1">
        <f t="array" ref="O28">SUM(O2:O5)+SUM(LARGE(O6:O27, {1,2,3,4,5,6,7}))</f>
        <v>978</v>
      </c>
      <c r="P28" s="3" cm="1">
        <f t="array" ref="P28">SUM(P2:P5)+SUM(LARGE(P6:P27, {1,2,3,4,5,6,7}))</f>
        <v>2227</v>
      </c>
      <c r="R28" s="3" cm="1">
        <f t="array" ref="R28">SUM(R2:R5)+SUM(LARGE(R6:R27, {1,2,3,4,5,6,7}))</f>
        <v>746</v>
      </c>
      <c r="S28" s="3" cm="1">
        <f t="array" ref="S28">SUM(S2:S5)+SUM(LARGE(S6:S27, {1,2,3,4,5,6,7}))</f>
        <v>1943</v>
      </c>
      <c r="U28" s="3" cm="1">
        <f t="array" ref="U28">SUM(U2:U5)+SUM(LARGE(U6:U27, {1,2,3,4,5,6,7}))</f>
        <v>1172</v>
      </c>
      <c r="V28" s="3" cm="1">
        <f t="array" ref="V28">SUM(V2:V5)+SUM(LARGE(V6:V27, {1,2,3,4,5,6,7}))</f>
        <v>2906</v>
      </c>
      <c r="X28" s="3" cm="1">
        <f t="array" ref="X28">SUM(X2:X5)+SUM(LARGE(X6:X11, {1,2,3,4,5,6}))</f>
        <v>737</v>
      </c>
      <c r="Y28" s="3" cm="1">
        <f t="array" ref="Y28">SUM(Y2:Y5)+SUM(LARGE(Y6:Y11, {1,2,3,4,5,6}))</f>
        <v>2250</v>
      </c>
      <c r="AA28" s="3">
        <f>SUM(AA2:AA5)</f>
        <v>190</v>
      </c>
      <c r="AB28" s="3">
        <f>SUM(AB2:AB5)</f>
        <v>231</v>
      </c>
    </row>
    <row r="29" spans="1:28" s="3" customFormat="1">
      <c r="A29" s="62" t="s">
        <v>275</v>
      </c>
      <c r="C29" s="3">
        <f>SUM(C2:C5)</f>
        <v>75</v>
      </c>
      <c r="D29" s="3">
        <f>SUM(D2:D5)</f>
        <v>742</v>
      </c>
      <c r="F29" s="3">
        <f>SUM(F2:F5)</f>
        <v>415</v>
      </c>
      <c r="G29" s="3">
        <f>SUM(G2:G5)</f>
        <v>1383</v>
      </c>
      <c r="I29" s="3">
        <f>SUM(I2:I5)</f>
        <v>233</v>
      </c>
      <c r="J29" s="3">
        <f>SUM(J2:J5)</f>
        <v>807</v>
      </c>
      <c r="L29" s="3">
        <f>SUM(L2:L5)</f>
        <v>202</v>
      </c>
      <c r="M29" s="3">
        <f>SUM(M2:M5)</f>
        <v>638</v>
      </c>
      <c r="O29" s="3">
        <f>SUM(O2:O5)</f>
        <v>569</v>
      </c>
      <c r="P29" s="3">
        <f>SUM(P2:P5)</f>
        <v>1231</v>
      </c>
      <c r="R29" s="3">
        <f>SUM(R2:R5)</f>
        <v>459</v>
      </c>
      <c r="S29" s="3">
        <f>SUM(S2:S5)</f>
        <v>1000</v>
      </c>
      <c r="U29" s="3">
        <f>SUM(U2:U5)</f>
        <v>264</v>
      </c>
      <c r="V29" s="3">
        <f>SUM(V2:V5)</f>
        <v>726</v>
      </c>
      <c r="X29" s="3">
        <f>SUM(X2:X5)</f>
        <v>300</v>
      </c>
      <c r="Y29" s="3">
        <f>SUM(Y2:Y5)</f>
        <v>1141</v>
      </c>
      <c r="AA29" s="3">
        <f>SUM(AA2:AA5)</f>
        <v>190</v>
      </c>
      <c r="AB29" s="3">
        <f>SUM(AB2:AB5)</f>
        <v>231</v>
      </c>
    </row>
    <row r="30" spans="1:28" s="3" customFormat="1">
      <c r="A30" s="62" t="s">
        <v>276</v>
      </c>
      <c r="C30" s="61" cm="1">
        <f t="array" ref="C30">SUM(LARGE(C6:C27, {1,2,3,4,5,6,7}))</f>
        <v>137</v>
      </c>
      <c r="D30" s="61" cm="1">
        <f t="array" ref="D30">SUM(LARGE(D6:D27, {1,2,3,4,5,6,7}))</f>
        <v>879</v>
      </c>
      <c r="F30" s="61" cm="1">
        <f t="array" ref="F30">SUM(LARGE(F6:F27, {1,2,3,4,5,6,7}))</f>
        <v>321</v>
      </c>
      <c r="G30" s="61" cm="1">
        <f t="array" ref="G30">SUM(LARGE(G6:G27, {1,2,3,4,5,6,7}))</f>
        <v>1256</v>
      </c>
      <c r="I30" s="61" cm="1">
        <f t="array" ref="I30">SUM(LARGE(I6:I27, {1,2,3,4,5,6,7}))</f>
        <v>484</v>
      </c>
      <c r="J30" s="61" cm="1">
        <f t="array" ref="J30">SUM(LARGE(J6:J27, {1,2,3,4,5,6,7}))</f>
        <v>844</v>
      </c>
      <c r="L30" s="61" cm="1">
        <f t="array" ref="L30">SUM(LARGE(L6:L27, {1,2,3,4,5,6,7}))</f>
        <v>150</v>
      </c>
      <c r="M30" s="61" cm="1">
        <f t="array" ref="M30">SUM(LARGE(M6:M27, {1,2,3,4,5,6,7}))</f>
        <v>1037</v>
      </c>
      <c r="O30" s="61" cm="1">
        <f t="array" ref="O30">SUM(LARGE(O6:O27, {1,2,3,4,5,6,7}))</f>
        <v>409</v>
      </c>
      <c r="P30" s="61" cm="1">
        <f t="array" ref="P30">SUM(LARGE(P6:P27, {1,2,3,4,5,6,7}))</f>
        <v>996</v>
      </c>
      <c r="R30" s="61" cm="1">
        <f t="array" ref="R30">SUM(LARGE(R6:R27, {1,2,3,4,5,6,7}))</f>
        <v>287</v>
      </c>
      <c r="S30" s="61" cm="1">
        <f t="array" ref="S30">SUM(LARGE(S6:S27, {1,2,3,4,5,6,7}))</f>
        <v>943</v>
      </c>
      <c r="U30" s="61" cm="1">
        <f t="array" ref="U30">SUM(LARGE(U6:U27, {1,2,3,4,5,6,7}))</f>
        <v>908</v>
      </c>
      <c r="V30" s="61" cm="1">
        <f t="array" ref="V30">SUM(LARGE(V6:V27, {1,2,3,4,5,6,7}))</f>
        <v>2180</v>
      </c>
      <c r="X30" s="61" cm="1">
        <f t="array" ref="X30">SUM(LARGE(X6:X11, {1,2,3,4,5,6}))</f>
        <v>437</v>
      </c>
      <c r="Y30" s="61" cm="1">
        <f t="array" ref="Y30">SUM(LARGE(Y6:Y11, {1,2,3,4,5,6}))</f>
        <v>1109</v>
      </c>
      <c r="AA30" s="61">
        <v>0</v>
      </c>
      <c r="AB30" s="61">
        <v>0</v>
      </c>
    </row>
    <row r="32" spans="1:28">
      <c r="A32" s="3" t="s">
        <v>254</v>
      </c>
      <c r="B32" s="3">
        <f>D28</f>
        <v>1621</v>
      </c>
      <c r="E32" s="64" t="str">
        <f>INDEX(Fanz!A2:A121, MATCH(LARGE(Fanz!$D$2:$D$121,1), Fanz!$D$2:$D$121, 0))</f>
        <v>R Ravindra</v>
      </c>
      <c r="F32" s="64"/>
      <c r="G32" s="64">
        <f>LARGE(Fanz!D$2:D$121,1)</f>
        <v>686</v>
      </c>
    </row>
    <row r="33" spans="1:11">
      <c r="A33" s="3" t="s">
        <v>257</v>
      </c>
      <c r="B33" s="3">
        <f>G28</f>
        <v>2639</v>
      </c>
      <c r="C33" s="42"/>
      <c r="D33" s="42"/>
      <c r="E33" s="64" t="str">
        <f>INDEX(Fanz!$A$2:$A$121, MATCH(LARGE(Fanz!$D$2:$D$121,2), Fanz!$D$2:$D$121, 0))</f>
        <v>M Bracewell</v>
      </c>
      <c r="F33" s="64"/>
      <c r="G33" s="64">
        <f>LARGE(Fanz!D$2:D$121,2)</f>
        <v>549</v>
      </c>
    </row>
    <row r="34" spans="1:11">
      <c r="A34" s="3" t="s">
        <v>258</v>
      </c>
      <c r="B34" s="3">
        <f>J28</f>
        <v>1651</v>
      </c>
      <c r="C34" s="42"/>
      <c r="D34" s="42"/>
      <c r="E34" s="64" t="str">
        <f>INDEX(Fanz!$A$2:$A$121, MATCH(LARGE(Fanz!$D$2:$D$121,3), Fanz!$D$2:$D$121, 0))</f>
        <v>A Omarzai</v>
      </c>
      <c r="F34" s="64"/>
      <c r="G34" s="64">
        <f>LARGE(Fanz!D$2:D$121,3)</f>
        <v>486</v>
      </c>
    </row>
    <row r="35" spans="1:11">
      <c r="A35" s="3" t="s">
        <v>259</v>
      </c>
      <c r="B35" s="3">
        <f>M28</f>
        <v>1675</v>
      </c>
      <c r="D35" s="42"/>
      <c r="E35" s="64" t="str">
        <f>INDEX(Fanz!$A$2:$A$121, MATCH(LARGE(Fanz!$D$2:$D$121,4), Fanz!$D$2:$D$121, 0))</f>
        <v>V Kohli</v>
      </c>
      <c r="F35" s="64"/>
      <c r="G35" s="64">
        <f>LARGE(Fanz!D$2:D$121,4)</f>
        <v>443</v>
      </c>
    </row>
    <row r="36" spans="1:11">
      <c r="A36" s="3" t="s">
        <v>277</v>
      </c>
      <c r="B36" s="3">
        <f>P28</f>
        <v>2227</v>
      </c>
      <c r="D36" s="42"/>
      <c r="E36" s="64" t="str">
        <f>INDEX(Fanz!$A$2:$A$121, MATCH(LARGE(Fanz!$D$2:$D$121,5), Fanz!$D$2:$D$121, 0))</f>
        <v>M Santner</v>
      </c>
      <c r="F36" s="64"/>
      <c r="G36" s="64">
        <f>LARGE(Fanz!D$2:D$121,5)</f>
        <v>430</v>
      </c>
    </row>
    <row r="37" spans="1:11">
      <c r="A37" s="3" t="s">
        <v>261</v>
      </c>
      <c r="B37" s="3">
        <f>S28</f>
        <v>1943</v>
      </c>
      <c r="D37" s="42"/>
      <c r="E37" s="64" t="str">
        <f>INDEX(Fanz!$A$2:$A$121, MATCH(LARGE(Fanz!$D$2:$D$121,6), Fanz!$D$2:$D$121, 0))</f>
        <v>G Phillips</v>
      </c>
      <c r="F37" s="64"/>
      <c r="G37" s="64">
        <f>LARGE(Fanz!D$2:D$121,6)</f>
        <v>428</v>
      </c>
    </row>
    <row r="38" spans="1:11">
      <c r="A38" s="3" t="s">
        <v>262</v>
      </c>
      <c r="B38" s="3">
        <f>V28</f>
        <v>2906</v>
      </c>
      <c r="E38" s="64" t="str">
        <f>INDEX(Fanz!$A$2:$A$121, MATCH(LARGE(Fanz!$D$2:$D$121,7), Fanz!$D$2:$D$121, 0))</f>
        <v>K Williamson</v>
      </c>
      <c r="F38" s="64"/>
      <c r="G38" s="64">
        <f>LARGE(Fanz!D$2:D$121,7)</f>
        <v>393</v>
      </c>
    </row>
    <row r="39" spans="1:11">
      <c r="A39" s="3" t="s">
        <v>263</v>
      </c>
      <c r="B39" s="3">
        <f>Y28</f>
        <v>2250</v>
      </c>
      <c r="E39" s="64" t="str">
        <f>INDEX(Fanz!$A$2:$A$121, MATCH(LARGE(Fanz!$D$2:$D$121,8), Fanz!$D$2:$D$121, 0))</f>
        <v>R Sharma</v>
      </c>
      <c r="F39" s="64"/>
      <c r="G39" s="64">
        <f>LARGE(Fanz!D$2:D$121,8)</f>
        <v>387</v>
      </c>
      <c r="J39" s="63" t="s">
        <v>262</v>
      </c>
      <c r="K39" s="64">
        <f>2906-355-268+216+215</f>
        <v>2714</v>
      </c>
    </row>
    <row r="40" spans="1:11" ht="15.75">
      <c r="A40" s="3" t="s">
        <v>264</v>
      </c>
      <c r="B40" s="3">
        <f>AB28</f>
        <v>231</v>
      </c>
      <c r="C40" s="42"/>
      <c r="D40" s="42"/>
      <c r="E40" s="64" t="str">
        <f>INDEX(Fanz!$A$2:$A$121, MATCH(LARGE(Fanz!$D$2:$D$121,9), Fanz!$D$2:$D$121, 0))</f>
        <v>A Patel</v>
      </c>
      <c r="F40" s="64"/>
      <c r="G40" s="64">
        <f>LARGE(Fanz!D$2:D$121,9)</f>
        <v>386</v>
      </c>
      <c r="J40" s="63" t="s">
        <v>261</v>
      </c>
      <c r="K40" s="64">
        <f>1943-133+223+549-84</f>
        <v>2498</v>
      </c>
    </row>
    <row r="41" spans="1:11" ht="15.75">
      <c r="C41" s="42"/>
      <c r="D41" s="42"/>
      <c r="E41" s="64" t="str">
        <f>INDEX(Fanz!$A$2:$A$121, MATCH(LARGE(Fanz!$D$2:$D$121,10), Fanz!$D$2:$D$121, 0))</f>
        <v>M Henry</v>
      </c>
      <c r="F41" s="64"/>
      <c r="G41" s="64">
        <f>LARGE(Fanz!D$2:D$121,10)</f>
        <v>382</v>
      </c>
      <c r="J41" s="63" t="s">
        <v>259</v>
      </c>
      <c r="K41" s="64">
        <f>1675-2-37+355+268</f>
        <v>2259</v>
      </c>
    </row>
    <row r="42" spans="1:11">
      <c r="A42" s="63" t="s">
        <v>262</v>
      </c>
      <c r="B42" s="64">
        <v>2906</v>
      </c>
      <c r="F42" s="1"/>
      <c r="G42" s="1"/>
      <c r="H42" s="1"/>
      <c r="J42" s="63" t="s">
        <v>263</v>
      </c>
      <c r="K42" s="64">
        <v>2250</v>
      </c>
    </row>
    <row r="43" spans="1:11">
      <c r="A43" s="63" t="s">
        <v>257</v>
      </c>
      <c r="B43" s="64">
        <v>2639</v>
      </c>
      <c r="F43" s="1"/>
      <c r="G43" s="1"/>
      <c r="H43" s="1"/>
      <c r="J43" s="63" t="s">
        <v>277</v>
      </c>
      <c r="K43" s="64">
        <v>2227</v>
      </c>
    </row>
    <row r="44" spans="1:11">
      <c r="A44" s="63" t="s">
        <v>263</v>
      </c>
      <c r="B44" s="64">
        <v>2250</v>
      </c>
      <c r="F44" s="1"/>
      <c r="G44" s="1"/>
      <c r="H44" s="1"/>
      <c r="J44" s="63" t="s">
        <v>257</v>
      </c>
      <c r="K44" s="64">
        <f>2639-549+84</f>
        <v>2174</v>
      </c>
    </row>
    <row r="45" spans="1:11">
      <c r="A45" s="63" t="s">
        <v>277</v>
      </c>
      <c r="B45" s="64">
        <v>2227</v>
      </c>
      <c r="F45" s="1"/>
      <c r="G45" s="1"/>
      <c r="H45" s="1"/>
      <c r="J45" s="63" t="s">
        <v>258</v>
      </c>
      <c r="K45" s="64">
        <v>1651</v>
      </c>
    </row>
    <row r="46" spans="1:11">
      <c r="A46" s="63" t="s">
        <v>261</v>
      </c>
      <c r="B46" s="64">
        <v>1943</v>
      </c>
      <c r="F46" s="1"/>
      <c r="G46" s="1"/>
      <c r="H46" s="1"/>
      <c r="J46" s="63" t="s">
        <v>254</v>
      </c>
      <c r="K46" s="64">
        <f>1621+133-223</f>
        <v>1531</v>
      </c>
    </row>
    <row r="47" spans="1:11">
      <c r="A47" s="63" t="s">
        <v>259</v>
      </c>
      <c r="B47" s="64">
        <v>1675</v>
      </c>
      <c r="J47" s="63" t="s">
        <v>264</v>
      </c>
      <c r="K47" s="64">
        <v>231</v>
      </c>
    </row>
    <row r="48" spans="1:11">
      <c r="A48" s="63" t="s">
        <v>258</v>
      </c>
      <c r="B48" s="64">
        <v>1651</v>
      </c>
    </row>
    <row r="49" spans="1:2">
      <c r="A49" s="63" t="s">
        <v>254</v>
      </c>
      <c r="B49" s="64">
        <v>1621</v>
      </c>
    </row>
    <row r="50" spans="1:2">
      <c r="A50" s="63" t="s">
        <v>264</v>
      </c>
      <c r="B50" s="64">
        <v>231</v>
      </c>
    </row>
  </sheetData>
  <sortState xmlns:xlrd2="http://schemas.microsoft.com/office/spreadsheetml/2017/richdata2" ref="J39:K47">
    <sortCondition descending="1" ref="K39:K47"/>
  </sortState>
  <mergeCells count="1">
    <mergeCell ref="A6:A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A9081-4250-482B-8558-1CE2E97D3D74}">
  <dimension ref="B1:H25"/>
  <sheetViews>
    <sheetView topLeftCell="H1" workbookViewId="0">
      <selection activeCell="E13" sqref="E13"/>
    </sheetView>
  </sheetViews>
  <sheetFormatPr defaultRowHeight="15"/>
  <cols>
    <col min="2" max="2" width="22.42578125" bestFit="1" customWidth="1"/>
    <col min="3" max="3" width="15.28515625" customWidth="1"/>
    <col min="4" max="4" width="15.42578125" customWidth="1"/>
  </cols>
  <sheetData>
    <row r="1" spans="2:8">
      <c r="B1" t="s">
        <v>254</v>
      </c>
      <c r="C1" t="s">
        <v>258</v>
      </c>
      <c r="D1" t="s">
        <v>257</v>
      </c>
    </row>
    <row r="2" spans="2:8">
      <c r="B2" s="35" t="s">
        <v>278</v>
      </c>
      <c r="C2" t="s">
        <v>279</v>
      </c>
      <c r="D2" t="s">
        <v>280</v>
      </c>
    </row>
    <row r="3" spans="2:8">
      <c r="B3" s="59" t="s">
        <v>112</v>
      </c>
      <c r="C3" t="s">
        <v>281</v>
      </c>
      <c r="D3" t="s">
        <v>28</v>
      </c>
    </row>
    <row r="4" spans="2:8">
      <c r="B4" s="59" t="s">
        <v>91</v>
      </c>
      <c r="C4" t="s">
        <v>282</v>
      </c>
      <c r="D4" t="s">
        <v>116</v>
      </c>
    </row>
    <row r="5" spans="2:8">
      <c r="B5" s="59" t="s">
        <v>63</v>
      </c>
      <c r="C5" t="s">
        <v>68</v>
      </c>
      <c r="D5" t="s">
        <v>53</v>
      </c>
    </row>
    <row r="6" spans="2:8">
      <c r="B6" s="59" t="s">
        <v>8</v>
      </c>
      <c r="C6" t="s">
        <v>283</v>
      </c>
    </row>
    <row r="7" spans="2:8">
      <c r="B7" s="35" t="s">
        <v>23</v>
      </c>
      <c r="C7" t="s">
        <v>18</v>
      </c>
      <c r="H7" s="35" t="s">
        <v>49</v>
      </c>
    </row>
    <row r="8" spans="2:8">
      <c r="B8" s="59" t="s">
        <v>16</v>
      </c>
    </row>
    <row r="9" spans="2:8">
      <c r="B9" s="52" t="s">
        <v>284</v>
      </c>
    </row>
    <row r="10" spans="2:8">
      <c r="B10" s="52" t="s">
        <v>285</v>
      </c>
      <c r="D10" s="35" t="s">
        <v>116</v>
      </c>
    </row>
    <row r="11" spans="2:8">
      <c r="B11" s="52" t="s">
        <v>286</v>
      </c>
      <c r="D11" s="35" t="s">
        <v>21</v>
      </c>
    </row>
    <row r="12" spans="2:8">
      <c r="B12" s="52" t="s">
        <v>91</v>
      </c>
      <c r="D12" s="35" t="s">
        <v>109</v>
      </c>
    </row>
    <row r="13" spans="2:8">
      <c r="B13" t="s">
        <v>287</v>
      </c>
      <c r="D13" s="35" t="s">
        <v>76</v>
      </c>
    </row>
    <row r="14" spans="2:8">
      <c r="B14" t="s">
        <v>121</v>
      </c>
    </row>
    <row r="15" spans="2:8">
      <c r="B15" s="52" t="s">
        <v>288</v>
      </c>
    </row>
    <row r="16" spans="2:8">
      <c r="B16" s="52" t="s">
        <v>289</v>
      </c>
      <c r="D16" s="35" t="s">
        <v>25</v>
      </c>
    </row>
    <row r="17" spans="4:4">
      <c r="D17" s="35" t="s">
        <v>45</v>
      </c>
    </row>
    <row r="18" spans="4:4">
      <c r="D18" s="34" t="s">
        <v>10</v>
      </c>
    </row>
    <row r="19" spans="4:4">
      <c r="D19" s="35" t="s">
        <v>53</v>
      </c>
    </row>
    <row r="22" spans="4:4">
      <c r="D22" s="34" t="s">
        <v>12</v>
      </c>
    </row>
    <row r="23" spans="4:4">
      <c r="D23" s="35" t="s">
        <v>28</v>
      </c>
    </row>
    <row r="24" spans="4:4">
      <c r="D24" s="35" t="s">
        <v>73</v>
      </c>
    </row>
    <row r="25" spans="4:4">
      <c r="D25" s="35" t="s">
        <v>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B1972-A7F7-4436-9EF8-BBA632BC5A84}">
  <dimension ref="A1:H74"/>
  <sheetViews>
    <sheetView topLeftCell="B8" workbookViewId="0">
      <selection activeCell="D14" sqref="D14"/>
    </sheetView>
  </sheetViews>
  <sheetFormatPr defaultRowHeight="15"/>
  <cols>
    <col min="1" max="1" width="3.85546875" bestFit="1" customWidth="1"/>
    <col min="4" max="4" width="18.7109375" bestFit="1" customWidth="1"/>
    <col min="8" max="8" width="22.42578125" customWidth="1"/>
  </cols>
  <sheetData>
    <row r="1" spans="1:8">
      <c r="A1" s="5" t="s">
        <v>290</v>
      </c>
      <c r="B1" s="5" t="s">
        <v>291</v>
      </c>
      <c r="C1" s="30" t="s">
        <v>133</v>
      </c>
      <c r="D1" s="6" t="s">
        <v>132</v>
      </c>
      <c r="E1" s="6" t="s">
        <v>292</v>
      </c>
      <c r="F1" s="6" t="s">
        <v>293</v>
      </c>
    </row>
    <row r="2" spans="1:8">
      <c r="A2" s="71">
        <v>1</v>
      </c>
      <c r="B2" s="32">
        <v>1.7629146280637942E-2</v>
      </c>
      <c r="C2" s="32" t="s">
        <v>0</v>
      </c>
      <c r="D2" s="34" t="s">
        <v>48</v>
      </c>
      <c r="E2" t="s">
        <v>259</v>
      </c>
      <c r="F2">
        <v>6.5</v>
      </c>
    </row>
    <row r="3" spans="1:8">
      <c r="A3" s="72"/>
      <c r="B3">
        <v>7.4982489276936515E-2</v>
      </c>
      <c r="C3" t="s">
        <v>5</v>
      </c>
      <c r="D3" s="35" t="s">
        <v>29</v>
      </c>
      <c r="E3" t="s">
        <v>262</v>
      </c>
      <c r="F3">
        <v>1</v>
      </c>
    </row>
    <row r="4" spans="1:8">
      <c r="A4" s="72"/>
      <c r="B4">
        <v>0.10413718761838753</v>
      </c>
      <c r="C4" t="s">
        <v>0</v>
      </c>
      <c r="D4" s="35" t="s">
        <v>56</v>
      </c>
      <c r="E4" t="s">
        <v>259</v>
      </c>
      <c r="F4">
        <v>7</v>
      </c>
    </row>
    <row r="5" spans="1:8">
      <c r="A5" s="72"/>
      <c r="B5">
        <v>0.11831697267662633</v>
      </c>
      <c r="C5" t="s">
        <v>209</v>
      </c>
      <c r="D5" s="35" t="s">
        <v>71</v>
      </c>
      <c r="E5" t="s">
        <v>262</v>
      </c>
      <c r="F5">
        <v>1</v>
      </c>
    </row>
    <row r="6" spans="1:8">
      <c r="A6" s="72"/>
      <c r="B6">
        <v>0.14221220860035511</v>
      </c>
      <c r="C6" t="s">
        <v>2</v>
      </c>
      <c r="D6" s="35" t="s">
        <v>18</v>
      </c>
      <c r="E6" t="s">
        <v>258</v>
      </c>
      <c r="F6">
        <v>8</v>
      </c>
    </row>
    <row r="7" spans="1:8">
      <c r="A7" s="72"/>
      <c r="B7">
        <v>0.15403487641772995</v>
      </c>
      <c r="C7" t="s">
        <v>5</v>
      </c>
      <c r="D7" s="35" t="s">
        <v>85</v>
      </c>
      <c r="E7" t="s">
        <v>259</v>
      </c>
      <c r="F7">
        <v>2</v>
      </c>
    </row>
    <row r="8" spans="1:8">
      <c r="A8" s="72"/>
      <c r="B8">
        <v>0.17650094481149536</v>
      </c>
      <c r="C8" t="s">
        <v>1</v>
      </c>
      <c r="D8" s="35" t="s">
        <v>33</v>
      </c>
      <c r="E8" t="s">
        <v>262</v>
      </c>
      <c r="F8">
        <v>3.4</v>
      </c>
    </row>
    <row r="9" spans="1:8">
      <c r="A9" s="72"/>
      <c r="B9">
        <v>0.19230557880969767</v>
      </c>
      <c r="C9" t="s">
        <v>6</v>
      </c>
      <c r="D9" s="35" t="s">
        <v>110</v>
      </c>
      <c r="E9" t="s">
        <v>258</v>
      </c>
      <c r="F9">
        <v>5</v>
      </c>
    </row>
    <row r="10" spans="1:8">
      <c r="A10" s="72"/>
      <c r="B10">
        <v>0.26146846362801834</v>
      </c>
      <c r="C10" t="s">
        <v>209</v>
      </c>
      <c r="D10" s="35" t="s">
        <v>31</v>
      </c>
      <c r="E10" t="s">
        <v>294</v>
      </c>
      <c r="F10">
        <v>9</v>
      </c>
    </row>
    <row r="11" spans="1:8">
      <c r="A11" s="73"/>
      <c r="B11">
        <v>0.27590888738987884</v>
      </c>
      <c r="C11" t="s">
        <v>0</v>
      </c>
      <c r="D11" s="35" t="s">
        <v>40</v>
      </c>
      <c r="E11" t="s">
        <v>262</v>
      </c>
      <c r="F11">
        <v>6.5</v>
      </c>
    </row>
    <row r="12" spans="1:8">
      <c r="A12" s="74">
        <v>2</v>
      </c>
      <c r="B12" s="32">
        <v>0.28259758226097664</v>
      </c>
      <c r="C12" s="32" t="s">
        <v>6</v>
      </c>
      <c r="D12" s="34" t="s">
        <v>94</v>
      </c>
      <c r="E12" t="s">
        <v>262</v>
      </c>
      <c r="F12">
        <v>3</v>
      </c>
      <c r="H12" s="55"/>
    </row>
    <row r="13" spans="1:8">
      <c r="A13" s="75"/>
      <c r="B13">
        <v>0.3123727737595362</v>
      </c>
      <c r="C13" t="s">
        <v>4</v>
      </c>
      <c r="D13" s="35" t="s">
        <v>116</v>
      </c>
      <c r="E13" t="s">
        <v>257</v>
      </c>
      <c r="F13">
        <v>15.5</v>
      </c>
    </row>
    <row r="14" spans="1:8">
      <c r="A14" s="75"/>
      <c r="B14">
        <v>0.31247832851012691</v>
      </c>
      <c r="C14" t="s">
        <v>5</v>
      </c>
      <c r="D14" s="35" t="s">
        <v>21</v>
      </c>
      <c r="E14" t="s">
        <v>294</v>
      </c>
      <c r="F14">
        <v>8.5</v>
      </c>
    </row>
    <row r="15" spans="1:8">
      <c r="A15" s="75"/>
      <c r="B15">
        <v>0.31431219719468051</v>
      </c>
      <c r="C15" t="s">
        <v>3</v>
      </c>
      <c r="D15" s="35" t="s">
        <v>83</v>
      </c>
      <c r="E15" t="s">
        <v>262</v>
      </c>
      <c r="F15">
        <v>6.5</v>
      </c>
    </row>
    <row r="16" spans="1:8">
      <c r="A16" s="75"/>
      <c r="B16">
        <v>0.34050762931211209</v>
      </c>
      <c r="C16" t="s">
        <v>5</v>
      </c>
      <c r="D16" s="35" t="s">
        <v>13</v>
      </c>
      <c r="E16" t="s">
        <v>263</v>
      </c>
      <c r="F16">
        <v>12.5</v>
      </c>
    </row>
    <row r="17" spans="1:6">
      <c r="A17" s="75"/>
      <c r="B17">
        <v>0.34724699670364334</v>
      </c>
      <c r="C17" t="s">
        <v>0</v>
      </c>
      <c r="D17" s="35" t="s">
        <v>80</v>
      </c>
      <c r="E17" t="s">
        <v>254</v>
      </c>
      <c r="F17">
        <v>1.6</v>
      </c>
    </row>
    <row r="18" spans="1:6">
      <c r="A18" s="75"/>
      <c r="B18">
        <v>0.35291169653354593</v>
      </c>
      <c r="C18" t="s">
        <v>2</v>
      </c>
      <c r="D18" s="35" t="s">
        <v>66</v>
      </c>
      <c r="E18" t="s">
        <v>294</v>
      </c>
      <c r="F18">
        <v>6</v>
      </c>
    </row>
    <row r="19" spans="1:6">
      <c r="A19" s="75"/>
      <c r="B19">
        <v>0.41746622940406009</v>
      </c>
      <c r="C19" t="s">
        <v>3</v>
      </c>
      <c r="D19" s="35" t="s">
        <v>51</v>
      </c>
      <c r="E19" t="s">
        <v>262</v>
      </c>
      <c r="F19">
        <v>1.5</v>
      </c>
    </row>
    <row r="20" spans="1:6">
      <c r="A20" s="75"/>
      <c r="B20">
        <v>0.42064046579064496</v>
      </c>
      <c r="C20" t="s">
        <v>6</v>
      </c>
      <c r="D20" s="35" t="s">
        <v>22</v>
      </c>
      <c r="E20" t="s">
        <v>277</v>
      </c>
      <c r="F20">
        <v>11</v>
      </c>
    </row>
    <row r="21" spans="1:6">
      <c r="A21" s="76"/>
      <c r="B21">
        <v>0.46131077858990965</v>
      </c>
      <c r="C21" t="s">
        <v>2</v>
      </c>
      <c r="D21" s="35" t="s">
        <v>106</v>
      </c>
      <c r="E21" t="s">
        <v>258</v>
      </c>
      <c r="F21">
        <v>1.5</v>
      </c>
    </row>
    <row r="22" spans="1:6">
      <c r="A22" s="74">
        <v>3</v>
      </c>
      <c r="B22" s="32">
        <v>0.59165246954457895</v>
      </c>
      <c r="C22" s="32"/>
      <c r="D22" s="34"/>
    </row>
    <row r="23" spans="1:6">
      <c r="A23" s="75"/>
      <c r="B23">
        <v>0.59457897976653218</v>
      </c>
      <c r="C23" t="s">
        <v>1</v>
      </c>
      <c r="D23" s="35" t="s">
        <v>89</v>
      </c>
      <c r="E23" t="s">
        <v>262</v>
      </c>
      <c r="F23">
        <v>5</v>
      </c>
    </row>
    <row r="24" spans="1:6">
      <c r="A24" s="75"/>
      <c r="B24">
        <v>0.59894173332744216</v>
      </c>
      <c r="C24" t="s">
        <v>2</v>
      </c>
      <c r="D24" s="35" t="s">
        <v>122</v>
      </c>
      <c r="E24" t="s">
        <v>277</v>
      </c>
      <c r="F24">
        <v>1.5</v>
      </c>
    </row>
    <row r="25" spans="1:6">
      <c r="A25" s="75"/>
      <c r="B25">
        <v>0.60887645179034566</v>
      </c>
      <c r="C25" t="s">
        <v>5</v>
      </c>
      <c r="D25" s="35" t="s">
        <v>77</v>
      </c>
      <c r="E25" t="s">
        <v>277</v>
      </c>
      <c r="F25">
        <v>15.5</v>
      </c>
    </row>
    <row r="26" spans="1:6">
      <c r="A26" s="75"/>
      <c r="B26">
        <v>0.61301382709359953</v>
      </c>
      <c r="C26" t="s">
        <v>6</v>
      </c>
      <c r="D26" s="35" t="s">
        <v>62</v>
      </c>
      <c r="E26" t="s">
        <v>262</v>
      </c>
      <c r="F26">
        <v>1</v>
      </c>
    </row>
    <row r="27" spans="1:6">
      <c r="A27" s="75"/>
      <c r="B27">
        <v>0.65700937979124441</v>
      </c>
      <c r="C27" t="s">
        <v>0</v>
      </c>
      <c r="D27" s="35" t="s">
        <v>24</v>
      </c>
      <c r="E27" t="s">
        <v>258</v>
      </c>
      <c r="F27">
        <v>4.5</v>
      </c>
    </row>
    <row r="28" spans="1:6">
      <c r="A28" s="75"/>
      <c r="B28">
        <v>0.66009412963042502</v>
      </c>
      <c r="C28" t="s">
        <v>3</v>
      </c>
      <c r="D28" s="35" t="s">
        <v>67</v>
      </c>
      <c r="E28" t="s">
        <v>277</v>
      </c>
      <c r="F28">
        <v>6</v>
      </c>
    </row>
    <row r="29" spans="1:6">
      <c r="A29" s="75"/>
      <c r="B29">
        <v>0.69520706076332017</v>
      </c>
      <c r="C29" t="s">
        <v>2</v>
      </c>
      <c r="D29" s="35" t="s">
        <v>34</v>
      </c>
      <c r="E29" t="s">
        <v>259</v>
      </c>
      <c r="F29">
        <v>6</v>
      </c>
    </row>
    <row r="30" spans="1:6">
      <c r="A30" s="75"/>
      <c r="B30">
        <v>0.75162986604804127</v>
      </c>
      <c r="C30" t="s">
        <v>1</v>
      </c>
      <c r="D30" s="35" t="s">
        <v>65</v>
      </c>
      <c r="E30" t="s">
        <v>259</v>
      </c>
      <c r="F30">
        <v>12.5</v>
      </c>
    </row>
    <row r="31" spans="1:6">
      <c r="A31" s="76"/>
      <c r="B31">
        <v>0.78625891316193686</v>
      </c>
      <c r="C31" t="s">
        <v>5</v>
      </c>
      <c r="D31" s="35" t="s">
        <v>109</v>
      </c>
      <c r="E31" t="s">
        <v>257</v>
      </c>
      <c r="F31">
        <v>2.5</v>
      </c>
    </row>
    <row r="32" spans="1:6">
      <c r="A32" s="74">
        <v>4</v>
      </c>
      <c r="B32" s="32">
        <v>0.79291733687729526</v>
      </c>
      <c r="C32" s="32" t="s">
        <v>5</v>
      </c>
      <c r="D32" s="34" t="s">
        <v>69</v>
      </c>
      <c r="E32" t="s">
        <v>294</v>
      </c>
      <c r="F32">
        <v>10.5</v>
      </c>
    </row>
    <row r="33" spans="1:6">
      <c r="A33" s="75"/>
      <c r="B33">
        <v>0.82752454180641322</v>
      </c>
      <c r="C33" t="s">
        <v>209</v>
      </c>
      <c r="D33" s="35" t="s">
        <v>127</v>
      </c>
      <c r="E33" t="s">
        <v>262</v>
      </c>
      <c r="F33">
        <v>1</v>
      </c>
    </row>
    <row r="34" spans="1:6">
      <c r="A34" s="75"/>
      <c r="B34">
        <v>0.84798630904478467</v>
      </c>
      <c r="C34" t="s">
        <v>0</v>
      </c>
      <c r="D34" s="35" t="s">
        <v>120</v>
      </c>
      <c r="E34" t="s">
        <v>294</v>
      </c>
      <c r="F34">
        <v>9.5</v>
      </c>
    </row>
    <row r="35" spans="1:6">
      <c r="A35" s="75"/>
      <c r="B35">
        <v>0.90450800712509938</v>
      </c>
      <c r="C35" t="s">
        <v>4</v>
      </c>
      <c r="D35" s="35" t="s">
        <v>76</v>
      </c>
      <c r="E35" t="s">
        <v>257</v>
      </c>
      <c r="F35">
        <v>3</v>
      </c>
    </row>
    <row r="36" spans="1:6">
      <c r="A36" s="75"/>
      <c r="B36">
        <v>0.94880559087376626</v>
      </c>
      <c r="C36" t="s">
        <v>4</v>
      </c>
      <c r="D36" s="35" t="s">
        <v>60</v>
      </c>
      <c r="E36" t="s">
        <v>263</v>
      </c>
      <c r="F36">
        <v>13</v>
      </c>
    </row>
    <row r="37" spans="1:6">
      <c r="A37" s="75"/>
      <c r="B37">
        <v>0.96246941519008289</v>
      </c>
      <c r="C37" t="s">
        <v>2</v>
      </c>
      <c r="D37" s="35" t="s">
        <v>74</v>
      </c>
      <c r="E37" t="s">
        <v>262</v>
      </c>
      <c r="F37">
        <v>2</v>
      </c>
    </row>
    <row r="38" spans="1:6">
      <c r="A38" s="75"/>
      <c r="B38">
        <v>0.97550023853700618</v>
      </c>
      <c r="C38" t="s">
        <v>4</v>
      </c>
      <c r="D38" s="35" t="s">
        <v>68</v>
      </c>
      <c r="E38" t="s">
        <v>254</v>
      </c>
      <c r="F38">
        <v>21</v>
      </c>
    </row>
    <row r="39" spans="1:6">
      <c r="A39" s="76"/>
      <c r="B39" s="33">
        <v>0.99110476479189835</v>
      </c>
      <c r="C39" s="33" t="s">
        <v>6</v>
      </c>
      <c r="D39" s="36" t="s">
        <v>46</v>
      </c>
      <c r="E39" t="s">
        <v>294</v>
      </c>
      <c r="F39">
        <v>1</v>
      </c>
    </row>
    <row r="40" spans="1:6">
      <c r="A40" s="1"/>
    </row>
    <row r="41" spans="1:6">
      <c r="A41" s="1"/>
    </row>
    <row r="42" spans="1:6">
      <c r="A42" s="1"/>
    </row>
    <row r="43" spans="1:6">
      <c r="A43" s="1"/>
    </row>
    <row r="44" spans="1:6">
      <c r="A44" s="1"/>
    </row>
    <row r="45" spans="1:6">
      <c r="A45" s="1"/>
    </row>
    <row r="46" spans="1:6">
      <c r="A46" s="1"/>
    </row>
    <row r="47" spans="1:6">
      <c r="A47" s="1"/>
    </row>
    <row r="48" spans="1:6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1"/>
    </row>
    <row r="60" spans="1:1">
      <c r="A60" s="1"/>
    </row>
    <row r="61" spans="1:1">
      <c r="A61" s="1"/>
    </row>
    <row r="62" spans="1:1">
      <c r="A62" s="1"/>
    </row>
    <row r="63" spans="1:1">
      <c r="A63" s="11"/>
    </row>
    <row r="64" spans="1:1">
      <c r="A64" s="1"/>
    </row>
    <row r="65" spans="1:1">
      <c r="A65" s="1"/>
    </row>
    <row r="66" spans="1:1">
      <c r="A66" s="1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1"/>
    </row>
    <row r="74" spans="1:1">
      <c r="A74" s="1"/>
    </row>
  </sheetData>
  <sortState xmlns:xlrd2="http://schemas.microsoft.com/office/spreadsheetml/2017/richdata2" ref="B2:D39">
    <sortCondition ref="B2:B39"/>
  </sortState>
  <mergeCells count="4">
    <mergeCell ref="A2:A11"/>
    <mergeCell ref="A12:A21"/>
    <mergeCell ref="A22:A31"/>
    <mergeCell ref="A32:A3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26DF9-23C4-4D98-A99C-9D9C1EBE6224}">
  <dimension ref="A1:H106"/>
  <sheetViews>
    <sheetView topLeftCell="A4" workbookViewId="0">
      <selection activeCell="D34" sqref="D34"/>
    </sheetView>
  </sheetViews>
  <sheetFormatPr defaultRowHeight="15"/>
  <cols>
    <col min="2" max="2" width="12.140625" bestFit="1" customWidth="1"/>
    <col min="4" max="4" width="24.85546875" customWidth="1"/>
    <col min="6" max="6" width="23.42578125" bestFit="1" customWidth="1"/>
  </cols>
  <sheetData>
    <row r="1" spans="1:8">
      <c r="A1" s="5" t="s">
        <v>290</v>
      </c>
      <c r="B1" s="5" t="s">
        <v>291</v>
      </c>
      <c r="C1" s="30" t="s">
        <v>133</v>
      </c>
      <c r="D1" s="6" t="s">
        <v>132</v>
      </c>
      <c r="E1" s="6" t="s">
        <v>292</v>
      </c>
      <c r="F1" s="6" t="s">
        <v>293</v>
      </c>
      <c r="G1" s="5"/>
      <c r="H1" s="5"/>
    </row>
    <row r="2" spans="1:8">
      <c r="A2" s="77">
        <v>1</v>
      </c>
      <c r="B2" s="37">
        <v>2.89811870976171E-2</v>
      </c>
      <c r="C2" s="32" t="s">
        <v>3</v>
      </c>
      <c r="D2" s="34" t="s">
        <v>19</v>
      </c>
      <c r="E2" s="29" t="s">
        <v>262</v>
      </c>
      <c r="F2" s="86">
        <v>5.5</v>
      </c>
    </row>
    <row r="3" spans="1:8">
      <c r="A3" s="78"/>
      <c r="B3" s="1">
        <v>3.5358970192162498E-2</v>
      </c>
      <c r="C3" t="s">
        <v>2</v>
      </c>
      <c r="D3" s="35" t="s">
        <v>82</v>
      </c>
      <c r="E3" s="29" t="s">
        <v>258</v>
      </c>
      <c r="F3" s="1">
        <v>6.5</v>
      </c>
    </row>
    <row r="4" spans="1:8">
      <c r="A4" s="78"/>
      <c r="B4" s="1">
        <v>3.9359843229200275E-2</v>
      </c>
      <c r="C4" t="s">
        <v>6</v>
      </c>
      <c r="D4" s="35" t="s">
        <v>70</v>
      </c>
      <c r="E4" s="29" t="s">
        <v>259</v>
      </c>
      <c r="F4" s="1">
        <v>2.5</v>
      </c>
    </row>
    <row r="5" spans="1:8">
      <c r="A5" s="78"/>
      <c r="B5" s="1">
        <v>0.19300741163498902</v>
      </c>
      <c r="C5" t="s">
        <v>0</v>
      </c>
      <c r="D5" s="35" t="s">
        <v>96</v>
      </c>
      <c r="E5" s="29" t="s">
        <v>261</v>
      </c>
      <c r="F5" s="1">
        <v>6.5</v>
      </c>
    </row>
    <row r="6" spans="1:8">
      <c r="A6" s="78"/>
      <c r="B6" s="1">
        <v>0.1975695171558749</v>
      </c>
      <c r="C6" t="s">
        <v>2</v>
      </c>
      <c r="D6" s="35" t="s">
        <v>90</v>
      </c>
      <c r="E6" s="29" t="s">
        <v>277</v>
      </c>
      <c r="F6" s="1">
        <v>4.5</v>
      </c>
    </row>
    <row r="7" spans="1:8">
      <c r="A7" s="78"/>
      <c r="B7" s="1">
        <v>0.20638566025137217</v>
      </c>
      <c r="C7" t="s">
        <v>5</v>
      </c>
      <c r="D7" s="35" t="s">
        <v>93</v>
      </c>
      <c r="E7" s="29" t="s">
        <v>261</v>
      </c>
      <c r="F7" s="1">
        <v>7</v>
      </c>
    </row>
    <row r="8" spans="1:8">
      <c r="A8" s="78"/>
      <c r="B8" s="1">
        <v>0.20686142260838059</v>
      </c>
      <c r="C8" t="s">
        <v>2</v>
      </c>
      <c r="D8" s="35" t="s">
        <v>114</v>
      </c>
      <c r="E8" s="29" t="s">
        <v>262</v>
      </c>
      <c r="F8" s="1">
        <v>1</v>
      </c>
    </row>
    <row r="9" spans="1:8">
      <c r="A9" s="78"/>
      <c r="B9" s="1">
        <v>0.21086602103617047</v>
      </c>
      <c r="C9" t="s">
        <v>209</v>
      </c>
      <c r="D9" s="35" t="s">
        <v>79</v>
      </c>
      <c r="E9" s="29" t="s">
        <v>258</v>
      </c>
      <c r="F9" s="1">
        <v>8</v>
      </c>
    </row>
    <row r="10" spans="1:8">
      <c r="A10" s="79"/>
      <c r="B10" s="1">
        <v>0.26386524079700191</v>
      </c>
      <c r="C10" t="s">
        <v>6</v>
      </c>
      <c r="D10" s="35" t="s">
        <v>273</v>
      </c>
      <c r="E10" s="29" t="s">
        <v>258</v>
      </c>
      <c r="F10" s="1">
        <v>1.5</v>
      </c>
    </row>
    <row r="11" spans="1:8">
      <c r="A11" s="77">
        <v>2</v>
      </c>
      <c r="B11" s="37">
        <v>0.26551440564835638</v>
      </c>
      <c r="C11" s="32" t="s">
        <v>0</v>
      </c>
      <c r="D11" s="34" t="s">
        <v>104</v>
      </c>
      <c r="E11" s="29" t="s">
        <v>254</v>
      </c>
      <c r="F11" s="1">
        <v>1.5</v>
      </c>
    </row>
    <row r="12" spans="1:8">
      <c r="A12" s="78"/>
      <c r="B12" s="1">
        <v>0.29026911155594604</v>
      </c>
      <c r="C12" t="s">
        <v>1</v>
      </c>
      <c r="D12" s="35" t="s">
        <v>25</v>
      </c>
      <c r="E12" s="29" t="s">
        <v>257</v>
      </c>
      <c r="F12" s="1">
        <v>4</v>
      </c>
    </row>
    <row r="13" spans="1:8">
      <c r="A13" s="78"/>
      <c r="B13" s="1">
        <v>0.29113309955158972</v>
      </c>
      <c r="C13" t="s">
        <v>1</v>
      </c>
      <c r="D13" s="35" t="s">
        <v>81</v>
      </c>
      <c r="E13" s="29" t="s">
        <v>259</v>
      </c>
      <c r="F13" s="1">
        <v>11</v>
      </c>
    </row>
    <row r="14" spans="1:8">
      <c r="A14" s="78"/>
      <c r="B14" s="1">
        <v>0.33254390613985829</v>
      </c>
      <c r="C14" t="s">
        <v>5</v>
      </c>
      <c r="D14" s="35" t="s">
        <v>45</v>
      </c>
      <c r="E14" s="29" t="s">
        <v>257</v>
      </c>
      <c r="F14" s="1">
        <v>1</v>
      </c>
    </row>
    <row r="15" spans="1:8">
      <c r="A15" s="78"/>
      <c r="B15" s="1">
        <v>0.36783705771680841</v>
      </c>
      <c r="C15" t="s">
        <v>209</v>
      </c>
      <c r="D15" s="35" t="s">
        <v>47</v>
      </c>
      <c r="E15" s="29" t="s">
        <v>277</v>
      </c>
      <c r="F15" s="1">
        <v>9.5</v>
      </c>
    </row>
    <row r="16" spans="1:8">
      <c r="A16" s="78"/>
      <c r="B16" s="1">
        <v>0.40171890155168255</v>
      </c>
      <c r="C16" t="s">
        <v>0</v>
      </c>
      <c r="D16" s="35" t="s">
        <v>112</v>
      </c>
      <c r="E16" s="29" t="s">
        <v>254</v>
      </c>
      <c r="F16" s="1">
        <v>7</v>
      </c>
    </row>
    <row r="17" spans="1:6">
      <c r="A17" s="78"/>
      <c r="B17" s="1">
        <v>0.44372680404338782</v>
      </c>
      <c r="C17" t="s">
        <v>4</v>
      </c>
      <c r="D17" s="35" t="s">
        <v>100</v>
      </c>
      <c r="E17" s="29" t="s">
        <v>259</v>
      </c>
      <c r="F17" s="1">
        <v>9</v>
      </c>
    </row>
    <row r="18" spans="1:6">
      <c r="A18" s="78"/>
      <c r="B18" s="1">
        <v>0.46541897186535541</v>
      </c>
      <c r="C18" t="s">
        <v>209</v>
      </c>
      <c r="D18" s="35" t="s">
        <v>103</v>
      </c>
      <c r="E18" s="29" t="s">
        <v>257</v>
      </c>
      <c r="F18" s="1">
        <v>5</v>
      </c>
    </row>
    <row r="19" spans="1:6">
      <c r="A19" s="79"/>
      <c r="B19" s="1">
        <v>0.48908257510675868</v>
      </c>
      <c r="C19" t="s">
        <v>3</v>
      </c>
      <c r="D19" s="35" t="s">
        <v>91</v>
      </c>
      <c r="E19" s="29" t="s">
        <v>254</v>
      </c>
      <c r="F19" s="1">
        <v>13.5</v>
      </c>
    </row>
    <row r="20" spans="1:6">
      <c r="A20" s="77">
        <v>3</v>
      </c>
      <c r="B20" s="37">
        <v>0.5410693997377698</v>
      </c>
      <c r="C20" s="32" t="s">
        <v>2</v>
      </c>
      <c r="D20" s="34" t="s">
        <v>10</v>
      </c>
      <c r="E20" s="29" t="s">
        <v>257</v>
      </c>
      <c r="F20" s="1">
        <v>4.5</v>
      </c>
    </row>
    <row r="21" spans="1:6">
      <c r="A21" s="78"/>
      <c r="B21" s="1">
        <v>0.56072804358857864</v>
      </c>
      <c r="C21" t="s">
        <v>5</v>
      </c>
      <c r="D21" s="35" t="s">
        <v>295</v>
      </c>
      <c r="E21" s="29" t="s">
        <v>263</v>
      </c>
      <c r="F21" s="1">
        <v>7</v>
      </c>
    </row>
    <row r="22" spans="1:6">
      <c r="A22" s="78"/>
      <c r="B22" s="1">
        <v>0.61110852523235382</v>
      </c>
      <c r="C22" t="s">
        <v>3</v>
      </c>
      <c r="D22" s="35" t="s">
        <v>27</v>
      </c>
      <c r="E22" s="29" t="s">
        <v>261</v>
      </c>
      <c r="F22" s="1">
        <v>1.5</v>
      </c>
    </row>
    <row r="23" spans="1:6">
      <c r="A23" s="78"/>
      <c r="B23" s="1">
        <v>0.65433075453897149</v>
      </c>
      <c r="C23" t="s">
        <v>1</v>
      </c>
      <c r="D23" s="35" t="s">
        <v>113</v>
      </c>
      <c r="E23" s="29" t="s">
        <v>254</v>
      </c>
      <c r="F23" s="1">
        <v>8.5</v>
      </c>
    </row>
    <row r="24" spans="1:6">
      <c r="A24" s="78"/>
      <c r="B24" s="1">
        <v>0.66753355846985607</v>
      </c>
      <c r="C24" t="s">
        <v>6</v>
      </c>
      <c r="D24" s="35" t="s">
        <v>38</v>
      </c>
      <c r="E24" s="29" t="s">
        <v>258</v>
      </c>
      <c r="F24" s="1">
        <v>9</v>
      </c>
    </row>
    <row r="25" spans="1:6">
      <c r="A25" s="78"/>
      <c r="B25" s="1">
        <v>0.67940010805048334</v>
      </c>
      <c r="C25" t="s">
        <v>4</v>
      </c>
      <c r="D25" s="35" t="s">
        <v>84</v>
      </c>
      <c r="E25" s="29" t="s">
        <v>263</v>
      </c>
      <c r="F25" s="1">
        <v>7.5</v>
      </c>
    </row>
    <row r="26" spans="1:6">
      <c r="A26" s="78"/>
      <c r="B26" s="1">
        <v>0.69662361694094188</v>
      </c>
      <c r="C26" t="s">
        <v>0</v>
      </c>
      <c r="D26" s="35" t="s">
        <v>88</v>
      </c>
      <c r="E26" s="29" t="s">
        <v>254</v>
      </c>
      <c r="F26" s="1">
        <v>1</v>
      </c>
    </row>
    <row r="27" spans="1:6">
      <c r="A27" s="78"/>
      <c r="B27" s="1">
        <v>0.7020103782574113</v>
      </c>
      <c r="C27" t="s">
        <v>4</v>
      </c>
      <c r="D27" s="35" t="s">
        <v>124</v>
      </c>
      <c r="E27" s="29" t="s">
        <v>277</v>
      </c>
      <c r="F27" s="1">
        <v>6</v>
      </c>
    </row>
    <row r="28" spans="1:6">
      <c r="A28" s="79"/>
      <c r="B28" s="1">
        <v>0.74196274036585763</v>
      </c>
      <c r="C28" t="s">
        <v>6</v>
      </c>
      <c r="D28" s="35" t="s">
        <v>30</v>
      </c>
      <c r="E28" s="29" t="s">
        <v>257</v>
      </c>
      <c r="F28" s="1">
        <v>8.5</v>
      </c>
    </row>
    <row r="29" spans="1:6">
      <c r="A29" s="77">
        <v>4</v>
      </c>
      <c r="B29" s="37">
        <v>0.75788728444569853</v>
      </c>
      <c r="C29" s="32" t="s">
        <v>4</v>
      </c>
      <c r="D29" s="34" t="s">
        <v>92</v>
      </c>
      <c r="E29" s="29" t="s">
        <v>277</v>
      </c>
      <c r="F29" s="1">
        <v>7.5</v>
      </c>
    </row>
    <row r="30" spans="1:6">
      <c r="A30" s="78"/>
      <c r="B30" s="1">
        <v>0.7945327441023351</v>
      </c>
      <c r="C30" t="s">
        <v>209</v>
      </c>
      <c r="D30" s="35" t="s">
        <v>87</v>
      </c>
      <c r="E30" s="29" t="s">
        <v>262</v>
      </c>
      <c r="F30" s="1">
        <v>4.5</v>
      </c>
    </row>
    <row r="31" spans="1:6">
      <c r="A31" s="78"/>
      <c r="B31" s="1">
        <v>0.84840325157042884</v>
      </c>
      <c r="C31" t="s">
        <v>3</v>
      </c>
      <c r="D31" s="35" t="s">
        <v>107</v>
      </c>
      <c r="E31" s="29" t="s">
        <v>277</v>
      </c>
      <c r="F31" s="1">
        <v>2</v>
      </c>
    </row>
    <row r="32" spans="1:6">
      <c r="A32" s="78"/>
      <c r="B32" s="1">
        <v>0.87105213299428452</v>
      </c>
      <c r="C32" t="s">
        <v>1</v>
      </c>
      <c r="D32" s="35" t="s">
        <v>121</v>
      </c>
      <c r="E32" s="29" t="s">
        <v>254</v>
      </c>
      <c r="F32" s="1">
        <v>1.5</v>
      </c>
    </row>
    <row r="33" spans="1:6">
      <c r="A33" s="78"/>
      <c r="B33" s="1">
        <v>0.88399545993679929</v>
      </c>
      <c r="C33" t="s">
        <v>1</v>
      </c>
      <c r="D33" s="35" t="s">
        <v>97</v>
      </c>
      <c r="E33" s="29" t="s">
        <v>263</v>
      </c>
      <c r="F33" s="1">
        <v>3</v>
      </c>
    </row>
    <row r="34" spans="1:6">
      <c r="A34" s="78"/>
      <c r="B34" s="1">
        <v>0.93261559606496314</v>
      </c>
      <c r="C34" t="s">
        <v>5</v>
      </c>
      <c r="D34" s="35" t="s">
        <v>53</v>
      </c>
      <c r="E34" s="29" t="s">
        <v>257</v>
      </c>
      <c r="F34" s="1">
        <v>10</v>
      </c>
    </row>
    <row r="35" spans="1:6">
      <c r="A35" s="78"/>
      <c r="B35" s="1">
        <v>0.9502691253424812</v>
      </c>
      <c r="C35" t="s">
        <v>3</v>
      </c>
      <c r="D35" s="35" t="s">
        <v>123</v>
      </c>
      <c r="E35" s="29" t="s">
        <v>262</v>
      </c>
      <c r="F35" s="1">
        <v>3.5</v>
      </c>
    </row>
    <row r="36" spans="1:6">
      <c r="A36" s="78"/>
      <c r="B36" s="1">
        <v>0.96005106786061578</v>
      </c>
      <c r="C36" t="s">
        <v>4</v>
      </c>
      <c r="D36" s="35" t="s">
        <v>108</v>
      </c>
      <c r="E36" s="29" t="s">
        <v>262</v>
      </c>
      <c r="F36" s="1">
        <v>13</v>
      </c>
    </row>
    <row r="37" spans="1:6">
      <c r="A37" s="79"/>
      <c r="B37" s="38">
        <v>0.97822341134015767</v>
      </c>
      <c r="C37" s="33" t="s">
        <v>6</v>
      </c>
      <c r="D37" s="36" t="s">
        <v>102</v>
      </c>
      <c r="E37" s="29" t="s">
        <v>259</v>
      </c>
      <c r="F37" s="1">
        <v>9.5</v>
      </c>
    </row>
    <row r="38" spans="1:6">
      <c r="A38" s="29"/>
      <c r="B38" s="1"/>
      <c r="D38" s="29"/>
      <c r="E38" s="29"/>
      <c r="F38" s="1"/>
    </row>
    <row r="39" spans="1:6">
      <c r="A39" s="29"/>
      <c r="B39" s="1"/>
      <c r="D39" s="29"/>
      <c r="E39" s="29"/>
      <c r="F39" s="1"/>
    </row>
    <row r="40" spans="1:6">
      <c r="A40" s="29"/>
      <c r="B40" s="1"/>
      <c r="D40" s="29"/>
      <c r="E40" s="29"/>
      <c r="F40" s="1"/>
    </row>
    <row r="41" spans="1:6">
      <c r="A41" s="29"/>
      <c r="B41" s="1"/>
      <c r="D41" s="29"/>
      <c r="E41" s="29"/>
      <c r="F41" s="1"/>
    </row>
    <row r="42" spans="1:6">
      <c r="A42" s="29"/>
      <c r="B42" s="1"/>
      <c r="D42" s="29"/>
      <c r="E42" s="29"/>
      <c r="F42" s="1"/>
    </row>
    <row r="43" spans="1:6">
      <c r="A43" s="29"/>
      <c r="D43" s="29"/>
      <c r="E43" s="29"/>
      <c r="F43" s="1"/>
    </row>
    <row r="44" spans="1:6">
      <c r="A44" s="29"/>
      <c r="B44" s="1"/>
      <c r="D44" s="29"/>
      <c r="E44" s="29"/>
      <c r="F44" s="1"/>
    </row>
    <row r="45" spans="1:6">
      <c r="A45" s="29"/>
      <c r="B45" s="1"/>
      <c r="D45" s="29"/>
      <c r="E45" s="29"/>
      <c r="F45" s="1"/>
    </row>
    <row r="46" spans="1:6">
      <c r="A46" s="29"/>
      <c r="B46" s="1"/>
      <c r="D46" s="29"/>
      <c r="E46" s="29"/>
      <c r="F46" s="1"/>
    </row>
    <row r="47" spans="1:6">
      <c r="A47" s="29"/>
      <c r="B47" s="1"/>
      <c r="D47" s="29"/>
      <c r="E47" s="29"/>
      <c r="F47" s="1"/>
    </row>
    <row r="48" spans="1:6">
      <c r="A48" s="29"/>
      <c r="B48" s="1"/>
      <c r="D48" s="29"/>
      <c r="E48" s="29"/>
      <c r="F48" s="1"/>
    </row>
    <row r="49" spans="1:6">
      <c r="A49" s="29"/>
      <c r="B49" s="1"/>
      <c r="D49" s="29"/>
      <c r="E49" s="29"/>
      <c r="F49" s="1"/>
    </row>
    <row r="50" spans="1:6">
      <c r="A50" s="29"/>
      <c r="B50" s="1"/>
      <c r="D50" s="29"/>
      <c r="E50" s="29"/>
      <c r="F50" s="1"/>
    </row>
    <row r="51" spans="1:6">
      <c r="A51" s="29"/>
      <c r="B51" s="1"/>
      <c r="D51" s="29"/>
      <c r="E51" s="29"/>
      <c r="F51" s="1"/>
    </row>
    <row r="52" spans="1:6">
      <c r="A52" s="29"/>
      <c r="B52" s="1"/>
      <c r="D52" s="29"/>
      <c r="E52" s="29"/>
      <c r="F52" s="1"/>
    </row>
    <row r="53" spans="1:6">
      <c r="A53" s="29"/>
      <c r="B53" s="1"/>
      <c r="D53" s="29"/>
      <c r="E53" s="29"/>
      <c r="F53" s="1"/>
    </row>
    <row r="54" spans="1:6">
      <c r="A54" s="29"/>
      <c r="B54" s="1"/>
      <c r="D54" s="29"/>
      <c r="E54" s="29"/>
      <c r="F54" s="1"/>
    </row>
    <row r="55" spans="1:6">
      <c r="A55" s="29"/>
      <c r="B55" s="1"/>
      <c r="D55" s="29"/>
      <c r="E55" s="29"/>
      <c r="F55" s="1"/>
    </row>
    <row r="56" spans="1:6">
      <c r="A56" s="29"/>
      <c r="B56" s="1"/>
      <c r="D56" s="29"/>
      <c r="E56" s="29"/>
      <c r="F56" s="1"/>
    </row>
    <row r="57" spans="1:6">
      <c r="A57" s="29"/>
      <c r="B57" s="1"/>
      <c r="D57" s="29"/>
      <c r="E57" s="29"/>
      <c r="F57" s="1"/>
    </row>
    <row r="58" spans="1:6">
      <c r="A58" s="29"/>
      <c r="B58" s="1"/>
      <c r="D58" s="29"/>
      <c r="E58" s="29"/>
      <c r="F58" s="1"/>
    </row>
    <row r="59" spans="1:6">
      <c r="A59" s="29"/>
      <c r="B59" s="1"/>
      <c r="D59" s="29"/>
      <c r="E59" s="29"/>
      <c r="F59" s="1"/>
    </row>
    <row r="60" spans="1:6">
      <c r="A60" s="29"/>
      <c r="B60" s="1"/>
      <c r="D60" s="29"/>
      <c r="E60" s="29"/>
      <c r="F60" s="1"/>
    </row>
    <row r="61" spans="1:6">
      <c r="A61" s="29"/>
      <c r="B61" s="1"/>
      <c r="D61" s="29"/>
      <c r="E61" s="29"/>
      <c r="F61" s="1"/>
    </row>
    <row r="62" spans="1:6">
      <c r="A62" s="29"/>
      <c r="B62" s="1"/>
      <c r="D62" s="29"/>
      <c r="E62" s="29"/>
      <c r="F62" s="1"/>
    </row>
    <row r="63" spans="1:6">
      <c r="A63" s="29"/>
      <c r="B63" s="1"/>
      <c r="D63" s="29"/>
      <c r="E63" s="29"/>
      <c r="F63" s="1"/>
    </row>
    <row r="64" spans="1:6">
      <c r="A64" s="29"/>
      <c r="B64" s="1"/>
      <c r="D64" s="29"/>
      <c r="E64" s="29"/>
      <c r="F64" s="1"/>
    </row>
    <row r="65" spans="1:6">
      <c r="A65" s="29"/>
      <c r="B65" s="1"/>
      <c r="D65" s="29"/>
      <c r="E65" s="29"/>
      <c r="F65" s="1"/>
    </row>
    <row r="66" spans="1:6">
      <c r="A66" s="29"/>
      <c r="B66" s="1"/>
      <c r="D66" s="29"/>
      <c r="E66" s="29"/>
      <c r="F66" s="1"/>
    </row>
    <row r="67" spans="1:6">
      <c r="A67" s="29"/>
      <c r="B67" s="1"/>
      <c r="D67" s="29"/>
      <c r="E67" s="29"/>
      <c r="F67" s="1"/>
    </row>
    <row r="68" spans="1:6">
      <c r="A68" s="29"/>
      <c r="B68" s="1"/>
      <c r="D68" s="29"/>
      <c r="E68" s="29"/>
      <c r="F68" s="1"/>
    </row>
    <row r="69" spans="1:6">
      <c r="A69" s="29"/>
      <c r="B69" s="1"/>
      <c r="D69" s="29"/>
      <c r="E69" s="29"/>
    </row>
    <row r="70" spans="1:6">
      <c r="A70" s="29"/>
      <c r="B70" s="1"/>
      <c r="D70" s="29"/>
      <c r="E70" s="29"/>
      <c r="F70" s="1"/>
    </row>
    <row r="71" spans="1:6">
      <c r="A71" s="29"/>
      <c r="B71" s="1"/>
      <c r="D71" s="29"/>
      <c r="E71" s="29"/>
      <c r="F71" s="1"/>
    </row>
    <row r="72" spans="1:6">
      <c r="A72" s="29"/>
      <c r="B72" s="1"/>
      <c r="D72" s="29"/>
      <c r="E72" s="29"/>
      <c r="F72" s="1"/>
    </row>
    <row r="73" spans="1:6">
      <c r="A73" s="29"/>
      <c r="B73" s="1"/>
      <c r="D73" s="29"/>
      <c r="E73" s="29"/>
      <c r="F73" s="1"/>
    </row>
    <row r="74" spans="1:6">
      <c r="A74" s="29"/>
      <c r="B74" s="1"/>
      <c r="D74" s="29"/>
      <c r="E74" s="29"/>
      <c r="F74" s="1"/>
    </row>
    <row r="75" spans="1:6">
      <c r="A75" s="29"/>
      <c r="B75" s="1"/>
      <c r="D75" s="29"/>
      <c r="E75" s="29"/>
      <c r="F75" s="1"/>
    </row>
    <row r="76" spans="1:6">
      <c r="A76" s="29"/>
      <c r="B76" s="1"/>
      <c r="D76" s="29"/>
      <c r="E76" s="29"/>
      <c r="F76" s="1"/>
    </row>
    <row r="77" spans="1:6">
      <c r="A77" s="29"/>
      <c r="B77" s="1"/>
      <c r="D77" s="29"/>
      <c r="E77" s="29"/>
      <c r="F77" s="1"/>
    </row>
    <row r="78" spans="1:6">
      <c r="A78" s="29"/>
      <c r="B78" s="1"/>
      <c r="D78" s="29"/>
      <c r="E78" s="29"/>
      <c r="F78" s="1"/>
    </row>
    <row r="79" spans="1:6">
      <c r="A79" s="29"/>
      <c r="B79" s="1"/>
      <c r="D79" s="29"/>
      <c r="E79" s="29"/>
      <c r="F79" s="1"/>
    </row>
    <row r="80" spans="1:6">
      <c r="A80" s="29"/>
      <c r="B80" s="1"/>
      <c r="D80" s="29"/>
      <c r="E80" s="29"/>
      <c r="F80" s="1"/>
    </row>
    <row r="81" spans="1:6">
      <c r="A81" s="29"/>
      <c r="B81" s="1"/>
      <c r="D81" s="29"/>
      <c r="E81" s="29"/>
      <c r="F81" s="1"/>
    </row>
    <row r="82" spans="1:6">
      <c r="A82" s="29"/>
      <c r="B82" s="1"/>
      <c r="D82" s="29"/>
      <c r="E82" s="29"/>
      <c r="F82" s="1"/>
    </row>
    <row r="83" spans="1:6">
      <c r="A83" s="29"/>
      <c r="B83" s="1"/>
      <c r="D83" s="29"/>
      <c r="E83" s="29"/>
      <c r="F83" s="1"/>
    </row>
    <row r="84" spans="1:6">
      <c r="A84" s="29"/>
      <c r="B84" s="1"/>
      <c r="D84" s="29"/>
      <c r="E84" s="29"/>
      <c r="F84" s="1"/>
    </row>
    <row r="85" spans="1:6">
      <c r="A85" s="29"/>
      <c r="B85" s="1"/>
      <c r="D85" s="29"/>
      <c r="E85" s="29"/>
      <c r="F85" s="1"/>
    </row>
    <row r="86" spans="1:6">
      <c r="A86" s="29"/>
      <c r="B86" s="1"/>
      <c r="D86" s="29"/>
      <c r="E86" s="29"/>
      <c r="F86" s="1"/>
    </row>
    <row r="87" spans="1:6">
      <c r="A87" s="29"/>
      <c r="B87" s="1"/>
      <c r="D87" s="29"/>
      <c r="E87" s="29"/>
      <c r="F87" s="1"/>
    </row>
    <row r="88" spans="1:6">
      <c r="A88" s="29"/>
      <c r="B88" s="1"/>
      <c r="D88" s="29"/>
      <c r="E88" s="29"/>
      <c r="F88" s="1"/>
    </row>
    <row r="89" spans="1:6">
      <c r="A89" s="29"/>
      <c r="B89" s="1"/>
      <c r="D89" s="29"/>
      <c r="E89" s="29"/>
      <c r="F89" s="1"/>
    </row>
    <row r="90" spans="1:6">
      <c r="A90" s="29"/>
      <c r="B90" s="1"/>
      <c r="D90" s="29"/>
      <c r="E90" s="29"/>
      <c r="F90" s="1"/>
    </row>
    <row r="91" spans="1:6">
      <c r="A91" s="29"/>
      <c r="B91" s="1"/>
      <c r="D91" s="29"/>
      <c r="E91" s="29"/>
      <c r="F91" s="1"/>
    </row>
    <row r="92" spans="1:6">
      <c r="A92" s="29"/>
      <c r="B92" s="1"/>
      <c r="D92" s="29"/>
      <c r="E92" s="29"/>
      <c r="F92" s="1"/>
    </row>
    <row r="93" spans="1:6">
      <c r="A93" s="29"/>
      <c r="B93" s="1"/>
      <c r="D93" s="29"/>
      <c r="E93" s="29"/>
      <c r="F93" s="1"/>
    </row>
    <row r="94" spans="1:6">
      <c r="A94" s="29"/>
      <c r="B94" s="1"/>
      <c r="D94" s="29"/>
      <c r="E94" s="29"/>
      <c r="F94" s="1"/>
    </row>
    <row r="95" spans="1:6">
      <c r="A95" s="29"/>
      <c r="B95" s="1"/>
      <c r="D95" s="29"/>
      <c r="E95" s="29"/>
      <c r="F95" s="1"/>
    </row>
    <row r="96" spans="1:6">
      <c r="A96" s="29"/>
      <c r="B96" s="1"/>
      <c r="D96" s="29"/>
      <c r="E96" s="29"/>
      <c r="F96" s="1"/>
    </row>
    <row r="97" spans="1:6">
      <c r="A97" s="29"/>
      <c r="B97" s="1"/>
      <c r="D97" s="29"/>
      <c r="E97" s="29"/>
      <c r="F97" s="1"/>
    </row>
    <row r="98" spans="1:6">
      <c r="A98" s="29"/>
      <c r="B98" s="1"/>
      <c r="D98" s="29"/>
      <c r="E98" s="29"/>
      <c r="F98" s="1"/>
    </row>
    <row r="99" spans="1:6">
      <c r="A99" s="29"/>
      <c r="B99" s="1"/>
      <c r="D99" s="29"/>
      <c r="E99" s="29"/>
      <c r="F99" s="1"/>
    </row>
    <row r="100" spans="1:6">
      <c r="A100" s="29"/>
      <c r="B100" s="1"/>
      <c r="D100" s="29"/>
      <c r="E100" s="29"/>
      <c r="F100" s="1"/>
    </row>
    <row r="101" spans="1:6">
      <c r="A101" s="29"/>
      <c r="B101" s="1"/>
      <c r="D101" s="29"/>
      <c r="E101" s="29"/>
      <c r="F101" s="1"/>
    </row>
    <row r="102" spans="1:6">
      <c r="A102" s="29"/>
      <c r="B102" s="1"/>
      <c r="D102" s="29"/>
      <c r="E102" s="29"/>
      <c r="F102" s="1"/>
    </row>
    <row r="103" spans="1:6">
      <c r="A103" s="29"/>
      <c r="B103" s="1"/>
      <c r="D103" s="29"/>
      <c r="E103" s="29"/>
      <c r="F103" s="1"/>
    </row>
    <row r="104" spans="1:6">
      <c r="A104" s="29"/>
      <c r="B104" s="1"/>
      <c r="D104" s="29"/>
      <c r="E104" s="29"/>
      <c r="F104" s="1"/>
    </row>
    <row r="105" spans="1:6">
      <c r="A105" s="29"/>
      <c r="B105" s="1"/>
      <c r="D105" s="29"/>
      <c r="E105" s="29"/>
      <c r="F105" s="1"/>
    </row>
    <row r="106" spans="1:6">
      <c r="A106" s="29"/>
      <c r="B106" s="1"/>
      <c r="D106" s="29"/>
      <c r="E106" s="29"/>
      <c r="F106" s="1"/>
    </row>
  </sheetData>
  <sortState xmlns:xlrd2="http://schemas.microsoft.com/office/spreadsheetml/2017/richdata2" ref="B2:D37">
    <sortCondition ref="B2:B37"/>
  </sortState>
  <mergeCells count="4">
    <mergeCell ref="A2:A10"/>
    <mergeCell ref="A11:A19"/>
    <mergeCell ref="A20:A28"/>
    <mergeCell ref="A29:A3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3A67B-33AA-48E9-A14D-57193DCB799B}">
  <dimension ref="A1:P80"/>
  <sheetViews>
    <sheetView topLeftCell="G6" workbookViewId="0">
      <selection activeCell="D26" sqref="D26"/>
    </sheetView>
  </sheetViews>
  <sheetFormatPr defaultRowHeight="15"/>
  <cols>
    <col min="1" max="1" width="9.140625" style="39"/>
    <col min="2" max="2" width="13.42578125" style="39" bestFit="1" customWidth="1"/>
    <col min="3" max="3" width="9.140625" style="43"/>
    <col min="4" max="4" width="22.42578125" style="39" bestFit="1" customWidth="1"/>
    <col min="5" max="5" width="9.140625" style="39"/>
    <col min="6" max="6" width="9.28515625" style="39" bestFit="1" customWidth="1"/>
    <col min="8" max="8" width="17.42578125" bestFit="1" customWidth="1"/>
  </cols>
  <sheetData>
    <row r="1" spans="1:16" s="5" customFormat="1">
      <c r="A1" s="5" t="s">
        <v>290</v>
      </c>
      <c r="B1" s="5" t="s">
        <v>291</v>
      </c>
      <c r="C1" s="30" t="s">
        <v>133</v>
      </c>
      <c r="D1" s="6" t="s">
        <v>132</v>
      </c>
      <c r="E1" s="6" t="s">
        <v>292</v>
      </c>
      <c r="F1" s="6" t="s">
        <v>293</v>
      </c>
      <c r="I1" s="6" t="s">
        <v>254</v>
      </c>
      <c r="J1" s="6" t="s">
        <v>257</v>
      </c>
      <c r="K1" s="6" t="s">
        <v>258</v>
      </c>
      <c r="L1" s="6" t="s">
        <v>259</v>
      </c>
      <c r="M1" s="6" t="s">
        <v>277</v>
      </c>
      <c r="N1" s="6" t="s">
        <v>261</v>
      </c>
      <c r="O1" s="6" t="s">
        <v>262</v>
      </c>
      <c r="P1" s="6" t="s">
        <v>263</v>
      </c>
    </row>
    <row r="2" spans="1:16" ht="15" customHeight="1">
      <c r="A2" s="80">
        <v>1</v>
      </c>
      <c r="B2" s="44">
        <v>1.1411008150184476E-2</v>
      </c>
      <c r="C2" s="44" t="s">
        <v>209</v>
      </c>
      <c r="D2" s="34" t="s">
        <v>55</v>
      </c>
      <c r="E2" s="42" t="s">
        <v>262</v>
      </c>
      <c r="F2" s="42">
        <v>9.5</v>
      </c>
      <c r="H2" s="8" t="s">
        <v>296</v>
      </c>
      <c r="I2" s="7">
        <v>100</v>
      </c>
      <c r="J2" s="7">
        <v>100</v>
      </c>
      <c r="K2" s="7">
        <v>100</v>
      </c>
      <c r="L2" s="7">
        <v>100</v>
      </c>
      <c r="M2" s="7">
        <v>100</v>
      </c>
      <c r="N2" s="7">
        <v>100</v>
      </c>
      <c r="O2" s="7">
        <v>100</v>
      </c>
      <c r="P2" s="7">
        <v>100</v>
      </c>
    </row>
    <row r="3" spans="1:16" ht="15" customHeight="1">
      <c r="A3" s="81"/>
      <c r="B3" s="42">
        <v>2.2413735151505798E-2</v>
      </c>
      <c r="C3" s="42" t="s">
        <v>6</v>
      </c>
      <c r="D3" s="35" t="s">
        <v>126</v>
      </c>
      <c r="E3" s="42" t="s">
        <v>259</v>
      </c>
      <c r="F3" s="42">
        <v>11.5</v>
      </c>
      <c r="I3">
        <v>1.5</v>
      </c>
      <c r="J3">
        <v>11.1</v>
      </c>
      <c r="K3">
        <v>15.2</v>
      </c>
      <c r="L3">
        <v>6.5</v>
      </c>
      <c r="M3">
        <v>15</v>
      </c>
      <c r="N3">
        <v>15.2</v>
      </c>
      <c r="O3">
        <v>7.1</v>
      </c>
      <c r="P3">
        <v>15</v>
      </c>
    </row>
    <row r="4" spans="1:16" ht="15" customHeight="1">
      <c r="A4" s="81"/>
      <c r="B4" s="42">
        <v>2.331233323606352E-2</v>
      </c>
      <c r="C4" s="42" t="s">
        <v>209</v>
      </c>
      <c r="D4" s="35" t="s">
        <v>119</v>
      </c>
      <c r="E4" s="42" t="s">
        <v>262</v>
      </c>
      <c r="F4" s="42">
        <v>4</v>
      </c>
      <c r="I4">
        <v>7</v>
      </c>
      <c r="J4">
        <v>5</v>
      </c>
      <c r="K4">
        <v>8</v>
      </c>
      <c r="L4">
        <v>7</v>
      </c>
      <c r="M4">
        <v>4.5</v>
      </c>
      <c r="N4">
        <v>9</v>
      </c>
      <c r="O4">
        <v>1</v>
      </c>
      <c r="P4">
        <v>11</v>
      </c>
    </row>
    <row r="5" spans="1:16" ht="15" customHeight="1">
      <c r="A5" s="81"/>
      <c r="B5" s="42">
        <v>3.6381757805797443E-2</v>
      </c>
      <c r="C5" s="42" t="s">
        <v>3</v>
      </c>
      <c r="D5" s="35" t="s">
        <v>59</v>
      </c>
      <c r="E5" s="42" t="s">
        <v>277</v>
      </c>
      <c r="F5" s="42">
        <v>6.5</v>
      </c>
      <c r="I5">
        <v>13.5</v>
      </c>
      <c r="J5">
        <v>15.5</v>
      </c>
      <c r="K5">
        <v>5</v>
      </c>
      <c r="L5">
        <v>2</v>
      </c>
      <c r="M5">
        <v>6.5</v>
      </c>
      <c r="N5">
        <v>6.5</v>
      </c>
      <c r="O5">
        <v>1</v>
      </c>
      <c r="P5">
        <v>10.5</v>
      </c>
    </row>
    <row r="6" spans="1:16" ht="15" customHeight="1">
      <c r="A6" s="81"/>
      <c r="B6" s="42">
        <v>3.6933692051831613E-2</v>
      </c>
      <c r="C6" s="42" t="s">
        <v>3</v>
      </c>
      <c r="D6" s="35" t="s">
        <v>43</v>
      </c>
      <c r="E6" s="42" t="s">
        <v>263</v>
      </c>
      <c r="F6" s="42">
        <v>11</v>
      </c>
      <c r="G6" s="3"/>
      <c r="I6">
        <v>10.5</v>
      </c>
      <c r="J6">
        <v>4</v>
      </c>
      <c r="K6">
        <v>6.5</v>
      </c>
      <c r="L6">
        <v>2.5</v>
      </c>
      <c r="M6">
        <v>11</v>
      </c>
      <c r="N6">
        <v>7</v>
      </c>
      <c r="O6">
        <v>6.5</v>
      </c>
      <c r="P6">
        <v>5.5</v>
      </c>
    </row>
    <row r="7" spans="1:16" ht="15" customHeight="1">
      <c r="A7" s="81"/>
      <c r="B7" s="42">
        <v>0.13844091608551512</v>
      </c>
      <c r="C7" s="42" t="s">
        <v>1</v>
      </c>
      <c r="D7" s="35" t="s">
        <v>41</v>
      </c>
      <c r="E7" s="42" t="s">
        <v>262</v>
      </c>
      <c r="F7" s="42">
        <v>7.1</v>
      </c>
      <c r="I7">
        <v>3</v>
      </c>
      <c r="J7">
        <v>5</v>
      </c>
      <c r="K7">
        <v>8</v>
      </c>
      <c r="L7">
        <v>11.5</v>
      </c>
      <c r="M7">
        <v>9.5</v>
      </c>
      <c r="N7">
        <v>8.5</v>
      </c>
      <c r="O7">
        <v>5.5</v>
      </c>
      <c r="P7">
        <v>12.5</v>
      </c>
    </row>
    <row r="8" spans="1:16" ht="15" customHeight="1">
      <c r="A8" s="81"/>
      <c r="B8" s="42">
        <v>0.19470943635684534</v>
      </c>
      <c r="C8" s="42" t="s">
        <v>1</v>
      </c>
      <c r="D8" s="35" t="s">
        <v>9</v>
      </c>
      <c r="E8" s="42" t="s">
        <v>263</v>
      </c>
      <c r="F8" s="42">
        <v>10.5</v>
      </c>
      <c r="I8">
        <v>3</v>
      </c>
      <c r="J8">
        <v>16.5</v>
      </c>
      <c r="K8">
        <v>1.5</v>
      </c>
      <c r="L8">
        <v>1.5</v>
      </c>
      <c r="M8">
        <v>1.5</v>
      </c>
      <c r="N8">
        <v>6</v>
      </c>
      <c r="O8">
        <v>1</v>
      </c>
      <c r="P8">
        <v>14</v>
      </c>
    </row>
    <row r="9" spans="1:16" ht="15" customHeight="1">
      <c r="A9" s="82"/>
      <c r="B9" s="42">
        <v>0.30609744645919024</v>
      </c>
      <c r="C9" s="42" t="s">
        <v>5</v>
      </c>
      <c r="D9" s="35" t="s">
        <v>125</v>
      </c>
      <c r="E9" s="42" t="s">
        <v>258</v>
      </c>
      <c r="F9" s="42">
        <v>5</v>
      </c>
      <c r="I9">
        <v>5</v>
      </c>
      <c r="J9">
        <v>2.5</v>
      </c>
      <c r="K9">
        <v>5</v>
      </c>
      <c r="L9">
        <v>1.5</v>
      </c>
      <c r="M9">
        <v>15.5</v>
      </c>
      <c r="N9">
        <v>1.5</v>
      </c>
      <c r="O9">
        <v>9.5</v>
      </c>
      <c r="P9">
        <v>7</v>
      </c>
    </row>
    <row r="10" spans="1:16" ht="15" customHeight="1">
      <c r="A10" s="80">
        <v>2</v>
      </c>
      <c r="B10" s="44">
        <v>0.35004769352929888</v>
      </c>
      <c r="C10" s="44" t="s">
        <v>4</v>
      </c>
      <c r="D10" s="34" t="s">
        <v>12</v>
      </c>
      <c r="E10" s="42" t="s">
        <v>257</v>
      </c>
      <c r="F10" s="42">
        <v>16.5</v>
      </c>
      <c r="I10">
        <v>1.6</v>
      </c>
      <c r="J10">
        <v>4.5</v>
      </c>
      <c r="K10">
        <v>13</v>
      </c>
      <c r="L10">
        <v>11</v>
      </c>
      <c r="M10">
        <v>6</v>
      </c>
      <c r="N10">
        <v>8.5</v>
      </c>
      <c r="O10">
        <v>4</v>
      </c>
      <c r="P10">
        <v>7.5</v>
      </c>
    </row>
    <row r="11" spans="1:16" ht="15" customHeight="1">
      <c r="A11" s="81"/>
      <c r="B11" s="42">
        <v>0.38493227414215647</v>
      </c>
      <c r="C11" s="42" t="s">
        <v>4</v>
      </c>
      <c r="D11" s="35" t="s">
        <v>28</v>
      </c>
      <c r="E11" s="42" t="s">
        <v>257</v>
      </c>
      <c r="F11" s="42">
        <v>11.1</v>
      </c>
      <c r="I11">
        <v>8.5</v>
      </c>
      <c r="J11">
        <v>8.5</v>
      </c>
      <c r="K11">
        <v>13.5</v>
      </c>
      <c r="L11">
        <v>9</v>
      </c>
      <c r="M11">
        <v>2.5</v>
      </c>
      <c r="N11">
        <v>1.5</v>
      </c>
      <c r="O11">
        <v>3</v>
      </c>
      <c r="P11">
        <v>13</v>
      </c>
    </row>
    <row r="12" spans="1:16" ht="15" customHeight="1">
      <c r="A12" s="81"/>
      <c r="B12" s="42">
        <v>0.3918738376961286</v>
      </c>
      <c r="C12" s="42" t="s">
        <v>209</v>
      </c>
      <c r="D12" s="35" t="s">
        <v>63</v>
      </c>
      <c r="E12" s="42" t="s">
        <v>254</v>
      </c>
      <c r="F12" s="42">
        <v>10.5</v>
      </c>
      <c r="I12">
        <v>1</v>
      </c>
      <c r="J12">
        <v>6</v>
      </c>
      <c r="K12">
        <v>1.5</v>
      </c>
      <c r="L12">
        <v>2</v>
      </c>
      <c r="M12">
        <v>6</v>
      </c>
      <c r="N12">
        <v>14.5</v>
      </c>
      <c r="O12">
        <v>6.5</v>
      </c>
      <c r="P12">
        <v>3</v>
      </c>
    </row>
    <row r="13" spans="1:16" ht="15" customHeight="1">
      <c r="A13" s="81"/>
      <c r="B13" s="42">
        <v>0.42374765338195697</v>
      </c>
      <c r="C13" s="41" t="s">
        <v>0</v>
      </c>
      <c r="D13" s="35" t="s">
        <v>32</v>
      </c>
      <c r="E13" s="42" t="s">
        <v>261</v>
      </c>
      <c r="F13" s="42">
        <v>1.5</v>
      </c>
      <c r="I13">
        <v>4.5</v>
      </c>
      <c r="J13">
        <v>5</v>
      </c>
      <c r="K13">
        <v>4.5</v>
      </c>
      <c r="L13">
        <v>6</v>
      </c>
      <c r="M13">
        <v>11.5</v>
      </c>
      <c r="N13">
        <v>10.5</v>
      </c>
      <c r="O13">
        <v>1</v>
      </c>
    </row>
    <row r="14" spans="1:16" ht="15" customHeight="1">
      <c r="A14" s="81"/>
      <c r="B14" s="42">
        <v>0.42595060481875102</v>
      </c>
      <c r="C14" s="41" t="s">
        <v>0</v>
      </c>
      <c r="D14" s="35" t="s">
        <v>8</v>
      </c>
      <c r="E14" s="42" t="s">
        <v>254</v>
      </c>
      <c r="F14" s="42">
        <v>3</v>
      </c>
      <c r="I14">
        <v>15.5</v>
      </c>
      <c r="J14">
        <v>3</v>
      </c>
      <c r="K14">
        <v>9</v>
      </c>
      <c r="L14">
        <v>12.5</v>
      </c>
      <c r="M14">
        <v>7.5</v>
      </c>
      <c r="N14">
        <v>9.5</v>
      </c>
      <c r="O14">
        <v>1.5</v>
      </c>
    </row>
    <row r="15" spans="1:16" ht="15" customHeight="1">
      <c r="A15" s="81"/>
      <c r="B15" s="42">
        <v>0.45289022898087916</v>
      </c>
      <c r="C15" s="42" t="s">
        <v>209</v>
      </c>
      <c r="D15" s="35" t="s">
        <v>23</v>
      </c>
      <c r="E15" s="42" t="s">
        <v>254</v>
      </c>
      <c r="F15" s="42">
        <v>3</v>
      </c>
      <c r="I15">
        <v>21</v>
      </c>
      <c r="J15">
        <v>10</v>
      </c>
      <c r="K15">
        <v>7</v>
      </c>
      <c r="L15">
        <v>17.5</v>
      </c>
      <c r="M15">
        <v>2</v>
      </c>
      <c r="N15">
        <v>1</v>
      </c>
      <c r="O15">
        <v>4</v>
      </c>
    </row>
    <row r="16" spans="1:16" ht="15" customHeight="1">
      <c r="A16" s="81"/>
      <c r="B16" s="42">
        <v>0.46024854338153121</v>
      </c>
      <c r="C16" s="41" t="s">
        <v>0</v>
      </c>
      <c r="D16" s="35" t="s">
        <v>16</v>
      </c>
      <c r="E16" s="42" t="s">
        <v>254</v>
      </c>
      <c r="F16" s="42">
        <v>5</v>
      </c>
      <c r="I16">
        <v>1.5</v>
      </c>
      <c r="K16">
        <v>2.2999999999999998</v>
      </c>
      <c r="L16">
        <v>9.5</v>
      </c>
      <c r="O16">
        <v>3.4</v>
      </c>
    </row>
    <row r="17" spans="1:16" ht="15" customHeight="1">
      <c r="A17" s="81"/>
      <c r="B17" s="42">
        <v>0.54903841103636697</v>
      </c>
      <c r="C17" s="42" t="s">
        <v>5</v>
      </c>
      <c r="D17" s="35" t="s">
        <v>117</v>
      </c>
      <c r="E17" s="42" t="s">
        <v>258</v>
      </c>
      <c r="F17" s="42">
        <v>15.2</v>
      </c>
      <c r="O17">
        <v>5</v>
      </c>
    </row>
    <row r="18" spans="1:16" ht="15" customHeight="1">
      <c r="A18" s="80">
        <v>3</v>
      </c>
      <c r="B18" s="44">
        <v>0.58021802370091902</v>
      </c>
      <c r="C18" s="44" t="s">
        <v>4</v>
      </c>
      <c r="D18" s="34" t="s">
        <v>20</v>
      </c>
      <c r="E18" s="42" t="s">
        <v>261</v>
      </c>
      <c r="F18" s="42">
        <v>15.2</v>
      </c>
      <c r="O18">
        <v>1</v>
      </c>
    </row>
    <row r="19" spans="1:16" ht="15" customHeight="1">
      <c r="A19" s="81"/>
      <c r="B19" s="42">
        <v>0.71050653711879352</v>
      </c>
      <c r="C19" s="42" t="s">
        <v>209</v>
      </c>
      <c r="D19" s="35" t="s">
        <v>15</v>
      </c>
      <c r="E19" s="42" t="s">
        <v>258</v>
      </c>
      <c r="F19" s="42">
        <v>7</v>
      </c>
      <c r="O19">
        <v>3.5</v>
      </c>
    </row>
    <row r="20" spans="1:16" ht="15" customHeight="1">
      <c r="A20" s="81"/>
      <c r="B20" s="42">
        <v>0.71563312250807065</v>
      </c>
      <c r="C20" s="42" t="s">
        <v>6</v>
      </c>
      <c r="D20" s="35" t="s">
        <v>118</v>
      </c>
      <c r="E20" s="42" t="s">
        <v>262</v>
      </c>
      <c r="F20" s="42">
        <v>3.5</v>
      </c>
      <c r="O20">
        <v>3.5</v>
      </c>
    </row>
    <row r="21" spans="1:16" ht="15" customHeight="1">
      <c r="A21" s="81"/>
      <c r="B21" s="42">
        <v>0.72146586352712916</v>
      </c>
      <c r="C21" s="42" t="s">
        <v>4</v>
      </c>
      <c r="D21" s="35" t="s">
        <v>36</v>
      </c>
      <c r="E21" s="42" t="s">
        <v>259</v>
      </c>
      <c r="F21" s="42">
        <v>17.5</v>
      </c>
      <c r="O21">
        <v>4</v>
      </c>
    </row>
    <row r="22" spans="1:16" ht="15" customHeight="1">
      <c r="A22" s="81"/>
      <c r="B22" s="42">
        <v>0.77393285067771822</v>
      </c>
      <c r="C22" s="42" t="s">
        <v>3</v>
      </c>
      <c r="D22" s="35" t="s">
        <v>99</v>
      </c>
      <c r="E22" s="42" t="s">
        <v>261</v>
      </c>
      <c r="F22" s="42">
        <v>14.5</v>
      </c>
      <c r="O22">
        <v>1</v>
      </c>
    </row>
    <row r="23" spans="1:16" ht="15" customHeight="1">
      <c r="A23" s="81"/>
      <c r="B23" s="42">
        <v>0.84818022073988419</v>
      </c>
      <c r="C23" s="42" t="s">
        <v>2</v>
      </c>
      <c r="D23" s="35" t="s">
        <v>58</v>
      </c>
      <c r="E23" s="42" t="s">
        <v>277</v>
      </c>
      <c r="F23" s="42">
        <v>2.5</v>
      </c>
      <c r="O23">
        <v>1</v>
      </c>
    </row>
    <row r="24" spans="1:16" ht="15" customHeight="1">
      <c r="A24" s="81"/>
      <c r="B24" s="42">
        <v>0.88569013600199153</v>
      </c>
      <c r="C24" s="42" t="s">
        <v>2</v>
      </c>
      <c r="D24" s="35" t="s">
        <v>26</v>
      </c>
      <c r="E24" s="42" t="s">
        <v>254</v>
      </c>
      <c r="F24" s="42">
        <v>4.5</v>
      </c>
      <c r="O24">
        <v>2</v>
      </c>
    </row>
    <row r="25" spans="1:16" ht="15" customHeight="1">
      <c r="A25" s="81"/>
      <c r="B25" s="42">
        <v>0.94528039416123866</v>
      </c>
      <c r="C25" s="42" t="s">
        <v>1</v>
      </c>
      <c r="D25" s="35" t="s">
        <v>73</v>
      </c>
      <c r="E25" s="42" t="s">
        <v>257</v>
      </c>
      <c r="F25" s="42">
        <v>6</v>
      </c>
      <c r="O25">
        <v>1</v>
      </c>
    </row>
    <row r="26" spans="1:16" ht="15" customHeight="1">
      <c r="A26" s="81"/>
      <c r="B26" s="42">
        <v>0.96875779658726524</v>
      </c>
      <c r="C26" s="42" t="s">
        <v>1</v>
      </c>
      <c r="D26" s="35" t="s">
        <v>105</v>
      </c>
      <c r="E26" s="42" t="s">
        <v>257</v>
      </c>
      <c r="F26" s="42">
        <v>5</v>
      </c>
      <c r="O26">
        <v>2</v>
      </c>
    </row>
    <row r="27" spans="1:16" ht="15" customHeight="1">
      <c r="A27" s="82"/>
      <c r="B27" s="56"/>
      <c r="C27" s="45" t="s">
        <v>1</v>
      </c>
      <c r="D27" s="57" t="s">
        <v>297</v>
      </c>
      <c r="E27" s="42" t="s">
        <v>262</v>
      </c>
      <c r="F27" s="42">
        <v>3.5</v>
      </c>
      <c r="O27">
        <v>4.5</v>
      </c>
    </row>
    <row r="28" spans="1:16" ht="15" customHeight="1">
      <c r="A28" s="40"/>
      <c r="B28" s="5"/>
      <c r="C28" s="42"/>
      <c r="D28" s="5"/>
      <c r="E28" s="5"/>
      <c r="F28" s="5"/>
      <c r="O28">
        <v>3.5</v>
      </c>
    </row>
    <row r="29" spans="1:16" ht="15" customHeight="1">
      <c r="A29" s="40"/>
      <c r="B29" s="5"/>
      <c r="C29" s="42"/>
      <c r="D29" s="5"/>
      <c r="E29" s="5"/>
      <c r="F29" s="5"/>
      <c r="O29">
        <v>13</v>
      </c>
    </row>
    <row r="30" spans="1:16" ht="15" customHeight="1">
      <c r="A30" s="40"/>
      <c r="B30" s="5"/>
      <c r="C30" s="42"/>
      <c r="D30" s="5"/>
      <c r="E30" s="5"/>
      <c r="F30" s="5"/>
    </row>
    <row r="31" spans="1:16" ht="15" customHeight="1">
      <c r="A31" s="40"/>
      <c r="B31" s="5"/>
      <c r="C31" s="42"/>
      <c r="D31" s="5"/>
      <c r="E31" s="5"/>
      <c r="F31" s="5"/>
      <c r="H31" s="4" t="s">
        <v>298</v>
      </c>
      <c r="I31" s="4">
        <f>I2-SUM(I3:I30)</f>
        <v>2.9000000000000057</v>
      </c>
      <c r="J31" s="4">
        <f t="shared" ref="J31:P31" si="0">J2-SUM(J3:J30)</f>
        <v>3.4000000000000057</v>
      </c>
      <c r="K31" s="4">
        <f t="shared" si="0"/>
        <v>0</v>
      </c>
      <c r="L31" s="4">
        <f t="shared" si="0"/>
        <v>0</v>
      </c>
      <c r="M31" s="4">
        <f t="shared" si="0"/>
        <v>1</v>
      </c>
      <c r="N31" s="4">
        <f t="shared" si="0"/>
        <v>0.79999999999999716</v>
      </c>
      <c r="O31" s="4">
        <f t="shared" si="0"/>
        <v>0</v>
      </c>
      <c r="P31" s="4">
        <f t="shared" si="0"/>
        <v>1</v>
      </c>
    </row>
    <row r="32" spans="1:16" ht="15" customHeight="1">
      <c r="A32" s="40"/>
      <c r="B32" s="5"/>
      <c r="C32" s="42"/>
      <c r="D32" s="5"/>
      <c r="E32" s="5"/>
      <c r="F32" s="5"/>
    </row>
    <row r="33" spans="1:6" ht="15" customHeight="1">
      <c r="A33" s="40"/>
      <c r="B33" s="5"/>
      <c r="C33" s="42"/>
      <c r="D33" s="5"/>
      <c r="E33" s="5"/>
      <c r="F33" s="5"/>
    </row>
    <row r="34" spans="1:6" ht="15" customHeight="1">
      <c r="A34" s="40"/>
      <c r="B34" s="5"/>
      <c r="C34" s="42"/>
      <c r="D34" s="5"/>
      <c r="E34" s="5"/>
      <c r="F34" s="5"/>
    </row>
    <row r="35" spans="1:6" ht="15" customHeight="1">
      <c r="A35" s="40"/>
      <c r="B35" s="5"/>
      <c r="C35" s="42"/>
      <c r="D35" s="5"/>
      <c r="E35" s="5"/>
      <c r="F35" s="5"/>
    </row>
    <row r="36" spans="1:6" ht="15" customHeight="1">
      <c r="A36" s="40"/>
      <c r="B36" s="5"/>
      <c r="C36" s="42"/>
      <c r="D36" s="5"/>
      <c r="E36" s="5"/>
      <c r="F36" s="5"/>
    </row>
    <row r="37" spans="1:6" ht="15" customHeight="1">
      <c r="A37" s="40"/>
      <c r="B37" s="5"/>
      <c r="C37" s="42"/>
      <c r="D37" s="5"/>
      <c r="E37" s="5"/>
      <c r="F37" s="5"/>
    </row>
    <row r="38" spans="1:6" ht="15" customHeight="1">
      <c r="A38" s="40"/>
      <c r="B38" s="5"/>
      <c r="C38" s="42"/>
      <c r="D38" s="5"/>
      <c r="E38" s="5"/>
      <c r="F38" s="5"/>
    </row>
    <row r="39" spans="1:6" ht="15" customHeight="1">
      <c r="A39" s="40"/>
      <c r="B39" s="5"/>
      <c r="C39" s="42"/>
      <c r="D39" s="5"/>
      <c r="E39" s="5"/>
      <c r="F39" s="5"/>
    </row>
    <row r="40" spans="1:6" ht="15" customHeight="1">
      <c r="A40" s="40"/>
      <c r="B40" s="5"/>
      <c r="C40" s="42"/>
      <c r="D40" s="5"/>
      <c r="E40" s="5"/>
      <c r="F40" s="5"/>
    </row>
    <row r="41" spans="1:6" ht="15" customHeight="1">
      <c r="A41" s="40"/>
      <c r="B41" s="5"/>
      <c r="C41" s="42"/>
      <c r="D41" s="5"/>
      <c r="E41" s="5"/>
      <c r="F41" s="5"/>
    </row>
    <row r="42" spans="1:6" ht="15" customHeight="1">
      <c r="A42" s="40"/>
      <c r="B42" s="5"/>
      <c r="C42" s="42"/>
      <c r="D42" s="5"/>
      <c r="E42" s="5"/>
      <c r="F42" s="5"/>
    </row>
    <row r="43" spans="1:6" ht="15" customHeight="1">
      <c r="A43" s="40"/>
      <c r="B43" s="5"/>
      <c r="C43" s="42"/>
      <c r="D43" s="5"/>
      <c r="E43" s="5"/>
      <c r="F43" s="5"/>
    </row>
    <row r="44" spans="1:6" ht="15" customHeight="1">
      <c r="A44" s="40"/>
      <c r="B44" s="5"/>
      <c r="C44" s="42"/>
      <c r="D44" s="5"/>
      <c r="E44" s="5"/>
      <c r="F44" s="5"/>
    </row>
    <row r="45" spans="1:6" ht="15" customHeight="1">
      <c r="A45" s="40"/>
      <c r="B45" s="5"/>
      <c r="C45" s="42"/>
      <c r="D45" s="5"/>
      <c r="E45" s="5"/>
      <c r="F45" s="5"/>
    </row>
    <row r="46" spans="1:6" ht="15" customHeight="1">
      <c r="A46" s="40"/>
      <c r="B46" s="5"/>
      <c r="C46" s="42"/>
      <c r="D46" s="5"/>
      <c r="E46" s="5"/>
      <c r="F46" s="5"/>
    </row>
    <row r="47" spans="1:6" ht="15" customHeight="1">
      <c r="A47" s="40"/>
      <c r="B47" s="5"/>
      <c r="C47" s="42"/>
      <c r="D47" s="5"/>
      <c r="E47" s="5"/>
      <c r="F47" s="5"/>
    </row>
    <row r="48" spans="1:6" ht="15" customHeight="1">
      <c r="A48" s="40"/>
      <c r="B48" s="5"/>
      <c r="C48" s="42"/>
      <c r="D48" s="5"/>
      <c r="E48" s="5"/>
      <c r="F48" s="5"/>
    </row>
    <row r="49" spans="1:6" ht="15" customHeight="1">
      <c r="A49" s="40"/>
      <c r="B49" s="5"/>
      <c r="C49" s="42"/>
      <c r="D49" s="5"/>
      <c r="E49" s="5"/>
      <c r="F49" s="5"/>
    </row>
    <row r="50" spans="1:6" ht="15" customHeight="1">
      <c r="A50" s="40"/>
      <c r="B50" s="5"/>
      <c r="C50" s="42"/>
      <c r="D50" s="5"/>
      <c r="E50" s="5"/>
      <c r="F50" s="5"/>
    </row>
    <row r="51" spans="1:6" ht="15" customHeight="1">
      <c r="A51" s="40"/>
      <c r="B51" s="5"/>
      <c r="C51" s="42"/>
      <c r="D51" s="5"/>
      <c r="E51" s="5"/>
      <c r="F51" s="5"/>
    </row>
    <row r="52" spans="1:6" ht="15" customHeight="1">
      <c r="A52" s="40"/>
      <c r="B52" s="5"/>
      <c r="C52" s="42"/>
      <c r="D52" s="5"/>
      <c r="E52" s="5"/>
      <c r="F52" s="5"/>
    </row>
    <row r="53" spans="1:6" ht="15" customHeight="1">
      <c r="A53" s="40"/>
      <c r="B53" s="5"/>
      <c r="C53" s="42"/>
      <c r="D53" s="5"/>
      <c r="E53" s="5"/>
      <c r="F53" s="5"/>
    </row>
    <row r="54" spans="1:6" ht="15" customHeight="1">
      <c r="A54" s="40"/>
      <c r="B54" s="5"/>
      <c r="C54" s="42"/>
      <c r="D54" s="5"/>
      <c r="E54" s="5"/>
      <c r="F54" s="5"/>
    </row>
    <row r="55" spans="1:6" ht="15" customHeight="1">
      <c r="A55" s="40"/>
      <c r="B55" s="5"/>
      <c r="C55" s="42"/>
      <c r="D55" s="5"/>
      <c r="E55" s="5"/>
      <c r="F55" s="5"/>
    </row>
    <row r="56" spans="1:6" ht="15" customHeight="1">
      <c r="A56" s="40"/>
      <c r="B56" s="5"/>
      <c r="C56" s="42"/>
      <c r="D56" s="5"/>
      <c r="E56" s="5"/>
      <c r="F56" s="5"/>
    </row>
    <row r="57" spans="1:6" ht="15" customHeight="1">
      <c r="A57" s="40"/>
      <c r="B57" s="5"/>
      <c r="C57" s="42"/>
      <c r="D57" s="5"/>
      <c r="E57" s="5"/>
      <c r="F57" s="5"/>
    </row>
    <row r="58" spans="1:6" ht="15" customHeight="1">
      <c r="A58" s="40"/>
      <c r="B58" s="5"/>
      <c r="C58" s="42"/>
      <c r="D58" s="5"/>
      <c r="E58" s="5"/>
      <c r="F58" s="5"/>
    </row>
    <row r="59" spans="1:6" ht="15" customHeight="1">
      <c r="A59" s="40"/>
      <c r="B59" s="5"/>
      <c r="C59" s="42"/>
      <c r="D59" s="5"/>
      <c r="E59" s="5"/>
      <c r="F59" s="5"/>
    </row>
    <row r="60" spans="1:6" ht="15" customHeight="1">
      <c r="A60" s="40"/>
      <c r="B60" s="5"/>
      <c r="C60" s="42"/>
      <c r="D60" s="5"/>
      <c r="E60" s="5"/>
      <c r="F60" s="5"/>
    </row>
    <row r="61" spans="1:6" ht="15" customHeight="1">
      <c r="A61" s="40"/>
      <c r="B61" s="5"/>
      <c r="C61" s="42"/>
      <c r="D61" s="5"/>
      <c r="E61" s="5"/>
      <c r="F61" s="5"/>
    </row>
    <row r="62" spans="1:6" ht="15" customHeight="1">
      <c r="A62" s="40"/>
      <c r="B62" s="5"/>
      <c r="C62" s="42"/>
      <c r="D62" s="5"/>
      <c r="E62" s="5"/>
      <c r="F62" s="5"/>
    </row>
    <row r="63" spans="1:6" ht="15" customHeight="1">
      <c r="A63" s="40"/>
      <c r="B63" s="5"/>
      <c r="C63" s="42"/>
      <c r="D63" s="5"/>
      <c r="E63" s="5"/>
      <c r="F63" s="5"/>
    </row>
    <row r="64" spans="1:6" ht="15" customHeight="1">
      <c r="A64" s="40"/>
      <c r="B64" s="5"/>
      <c r="C64" s="42"/>
      <c r="D64" s="5"/>
      <c r="E64" s="5"/>
      <c r="F64" s="5"/>
    </row>
    <row r="65" spans="1:6" ht="15" customHeight="1">
      <c r="A65" s="40"/>
      <c r="B65" s="5"/>
      <c r="C65" s="42"/>
      <c r="D65" s="5"/>
      <c r="E65" s="5"/>
      <c r="F65" s="5"/>
    </row>
    <row r="66" spans="1:6" ht="15" customHeight="1">
      <c r="A66" s="40"/>
      <c r="B66" s="5"/>
      <c r="C66" s="42"/>
      <c r="D66" s="5"/>
      <c r="E66" s="5"/>
      <c r="F66" s="5"/>
    </row>
    <row r="67" spans="1:6" ht="15" customHeight="1">
      <c r="A67" s="40"/>
      <c r="B67" s="5"/>
      <c r="C67" s="42"/>
      <c r="D67" s="5"/>
      <c r="E67" s="5"/>
      <c r="F67" s="5"/>
    </row>
    <row r="68" spans="1:6" ht="15" customHeight="1">
      <c r="A68" s="40"/>
      <c r="B68" s="5"/>
      <c r="C68" s="42"/>
      <c r="D68" s="5"/>
      <c r="E68" s="5"/>
      <c r="F68" s="5"/>
    </row>
    <row r="69" spans="1:6" ht="15" customHeight="1">
      <c r="A69" s="40"/>
      <c r="B69" s="5"/>
      <c r="C69" s="42"/>
      <c r="D69" s="5"/>
      <c r="E69" s="5"/>
      <c r="F69" s="5"/>
    </row>
    <row r="70" spans="1:6" ht="15" customHeight="1">
      <c r="A70" s="40"/>
      <c r="B70" s="5"/>
      <c r="C70" s="42"/>
      <c r="D70" s="5"/>
      <c r="E70" s="5"/>
      <c r="F70" s="5"/>
    </row>
    <row r="71" spans="1:6" ht="15" customHeight="1">
      <c r="A71" s="40"/>
      <c r="B71" s="5"/>
      <c r="C71" s="42"/>
      <c r="D71" s="5"/>
      <c r="E71" s="5"/>
      <c r="F71" s="5"/>
    </row>
    <row r="72" spans="1:6" ht="15" customHeight="1">
      <c r="A72" s="40"/>
      <c r="B72" s="5"/>
      <c r="C72" s="42"/>
      <c r="D72" s="5"/>
      <c r="E72" s="5"/>
      <c r="F72" s="5"/>
    </row>
    <row r="73" spans="1:6" ht="15" customHeight="1">
      <c r="A73" s="40"/>
      <c r="B73" s="5"/>
      <c r="C73" s="42"/>
      <c r="D73" s="5"/>
      <c r="E73" s="5"/>
      <c r="F73" s="5"/>
    </row>
    <row r="74" spans="1:6" ht="15" customHeight="1">
      <c r="A74" s="40"/>
      <c r="B74" s="5"/>
      <c r="C74" s="42"/>
      <c r="D74" s="5"/>
      <c r="E74" s="5"/>
      <c r="F74" s="5"/>
    </row>
    <row r="75" spans="1:6" ht="15" customHeight="1">
      <c r="A75" s="40"/>
      <c r="B75" s="5"/>
      <c r="C75" s="42"/>
      <c r="D75" s="5"/>
      <c r="E75" s="5"/>
      <c r="F75" s="5"/>
    </row>
    <row r="76" spans="1:6" ht="15" customHeight="1">
      <c r="A76" s="40"/>
      <c r="B76" s="5"/>
      <c r="C76" s="42"/>
      <c r="D76" s="5"/>
      <c r="E76" s="5"/>
      <c r="F76" s="5"/>
    </row>
    <row r="77" spans="1:6" ht="15" customHeight="1">
      <c r="A77" s="40"/>
      <c r="B77" s="5"/>
      <c r="C77" s="42"/>
      <c r="D77" s="5"/>
      <c r="E77" s="5"/>
      <c r="F77" s="5"/>
    </row>
    <row r="78" spans="1:6" ht="15" customHeight="1">
      <c r="A78" s="40"/>
      <c r="B78" s="5"/>
      <c r="C78" s="42"/>
      <c r="D78" s="5"/>
      <c r="E78" s="5"/>
      <c r="F78" s="5"/>
    </row>
    <row r="79" spans="1:6" ht="15" customHeight="1">
      <c r="A79" s="40"/>
      <c r="B79" s="5"/>
      <c r="C79" s="42"/>
      <c r="D79" s="5"/>
      <c r="E79" s="5"/>
      <c r="F79" s="5"/>
    </row>
    <row r="80" spans="1:6" ht="15" customHeight="1">
      <c r="A80" s="40"/>
      <c r="B80" s="5"/>
      <c r="C80" s="42"/>
      <c r="D80" s="5"/>
      <c r="E80" s="5"/>
      <c r="F80" s="5"/>
    </row>
  </sheetData>
  <sortState xmlns:xlrd2="http://schemas.microsoft.com/office/spreadsheetml/2017/richdata2" ref="B2:D26">
    <sortCondition ref="B2:B26"/>
  </sortState>
  <mergeCells count="3">
    <mergeCell ref="A2:A9"/>
    <mergeCell ref="A10:A17"/>
    <mergeCell ref="A18:A2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28776-27AB-4358-856E-E7AA3CF9BFA8}">
  <dimension ref="A1:F42"/>
  <sheetViews>
    <sheetView workbookViewId="0">
      <selection activeCell="D3" sqref="D3"/>
    </sheetView>
  </sheetViews>
  <sheetFormatPr defaultRowHeight="15"/>
  <cols>
    <col min="4" max="4" width="24.140625" bestFit="1" customWidth="1"/>
  </cols>
  <sheetData>
    <row r="1" spans="1:6">
      <c r="A1" s="5">
        <v>1</v>
      </c>
      <c r="B1" s="5" t="s">
        <v>291</v>
      </c>
      <c r="C1" s="30" t="s">
        <v>133</v>
      </c>
      <c r="D1" s="6" t="s">
        <v>132</v>
      </c>
      <c r="E1" s="6" t="s">
        <v>292</v>
      </c>
      <c r="F1" s="6" t="s">
        <v>293</v>
      </c>
    </row>
    <row r="2" spans="1:6">
      <c r="A2" s="83">
        <v>1</v>
      </c>
      <c r="B2" s="31">
        <v>9.721702777850616E-2</v>
      </c>
      <c r="C2" s="32" t="s">
        <v>5</v>
      </c>
      <c r="D2" s="34" t="s">
        <v>61</v>
      </c>
      <c r="E2" t="s">
        <v>263</v>
      </c>
      <c r="F2">
        <v>5.5</v>
      </c>
    </row>
    <row r="3" spans="1:6">
      <c r="A3" s="84"/>
      <c r="B3" s="29">
        <v>0.12471326621875911</v>
      </c>
      <c r="C3" t="s">
        <v>1</v>
      </c>
      <c r="D3" s="35" t="s">
        <v>49</v>
      </c>
      <c r="E3" t="s">
        <v>257</v>
      </c>
      <c r="F3">
        <v>5</v>
      </c>
    </row>
    <row r="4" spans="1:6">
      <c r="A4" s="84"/>
      <c r="B4" s="29">
        <v>0.16485450708750127</v>
      </c>
      <c r="C4" t="s">
        <v>3</v>
      </c>
      <c r="D4" s="35" t="s">
        <v>11</v>
      </c>
      <c r="E4" t="s">
        <v>258</v>
      </c>
      <c r="F4">
        <v>13</v>
      </c>
    </row>
    <row r="5" spans="1:6">
      <c r="A5" s="84"/>
      <c r="B5" s="29">
        <v>0.2184587696087732</v>
      </c>
      <c r="C5" t="s">
        <v>3</v>
      </c>
      <c r="D5" s="35" t="s">
        <v>75</v>
      </c>
      <c r="E5" t="s">
        <v>259</v>
      </c>
      <c r="F5">
        <v>1.5</v>
      </c>
    </row>
    <row r="6" spans="1:6">
      <c r="A6" s="84"/>
      <c r="B6" s="29">
        <v>0.28847892233697237</v>
      </c>
      <c r="C6" s="29" t="s">
        <v>209</v>
      </c>
      <c r="D6" s="35" t="s">
        <v>39</v>
      </c>
      <c r="E6" t="s">
        <v>258</v>
      </c>
      <c r="F6">
        <v>13.5</v>
      </c>
    </row>
    <row r="7" spans="1:6">
      <c r="A7" s="84"/>
      <c r="B7" s="29">
        <v>0.34962406135412794</v>
      </c>
      <c r="C7" t="s">
        <v>6</v>
      </c>
      <c r="D7" s="35" t="s">
        <v>78</v>
      </c>
      <c r="E7" t="s">
        <v>259</v>
      </c>
      <c r="F7">
        <v>1.5</v>
      </c>
    </row>
    <row r="8" spans="1:6">
      <c r="A8" s="83">
        <v>2</v>
      </c>
      <c r="B8" s="31">
        <v>0.40815579124896884</v>
      </c>
      <c r="C8" s="32" t="s">
        <v>1</v>
      </c>
      <c r="D8" s="34" t="s">
        <v>17</v>
      </c>
      <c r="E8" t="s">
        <v>261</v>
      </c>
      <c r="F8">
        <v>8.5</v>
      </c>
    </row>
    <row r="9" spans="1:6">
      <c r="A9" s="84"/>
      <c r="B9" s="29">
        <v>0.46157613109521189</v>
      </c>
      <c r="C9" t="s">
        <v>3</v>
      </c>
      <c r="D9" s="35" t="s">
        <v>115</v>
      </c>
      <c r="E9" t="s">
        <v>263</v>
      </c>
      <c r="F9">
        <v>15</v>
      </c>
    </row>
    <row r="10" spans="1:6">
      <c r="A10" s="84"/>
      <c r="B10" s="29">
        <v>0.59022425402110479</v>
      </c>
      <c r="C10" t="s">
        <v>4</v>
      </c>
      <c r="D10" s="35" t="s">
        <v>52</v>
      </c>
      <c r="E10" t="s">
        <v>259</v>
      </c>
      <c r="F10">
        <v>2</v>
      </c>
    </row>
    <row r="11" spans="1:6">
      <c r="A11" s="84"/>
      <c r="B11" s="29">
        <v>0.64140879548110608</v>
      </c>
      <c r="C11" t="s">
        <v>2</v>
      </c>
      <c r="D11" s="35" t="s">
        <v>98</v>
      </c>
      <c r="E11" t="s">
        <v>262</v>
      </c>
      <c r="F11">
        <v>1</v>
      </c>
    </row>
    <row r="12" spans="1:6">
      <c r="A12" s="84"/>
      <c r="B12" s="29">
        <v>0.66639400334801724</v>
      </c>
      <c r="C12" t="s">
        <v>0</v>
      </c>
      <c r="D12" s="35" t="s">
        <v>72</v>
      </c>
      <c r="E12" t="s">
        <v>262</v>
      </c>
      <c r="F12">
        <v>4</v>
      </c>
    </row>
    <row r="13" spans="1:6">
      <c r="A13" s="84"/>
      <c r="B13" s="29">
        <v>0.69780888990182077</v>
      </c>
      <c r="C13" t="s">
        <v>6</v>
      </c>
      <c r="D13" s="35" t="s">
        <v>14</v>
      </c>
      <c r="E13" t="s">
        <v>277</v>
      </c>
      <c r="F13">
        <v>15</v>
      </c>
    </row>
    <row r="14" spans="1:6">
      <c r="A14" s="84"/>
      <c r="B14" s="29">
        <v>0.73576829228944007</v>
      </c>
      <c r="C14" s="29" t="s">
        <v>209</v>
      </c>
      <c r="D14" s="35" t="s">
        <v>95</v>
      </c>
      <c r="E14" t="s">
        <v>263</v>
      </c>
      <c r="F14">
        <v>14</v>
      </c>
    </row>
    <row r="15" spans="1:6">
      <c r="A15" s="83">
        <v>3</v>
      </c>
      <c r="B15" s="31">
        <v>0.74054321589923078</v>
      </c>
      <c r="C15" s="32" t="s">
        <v>2</v>
      </c>
      <c r="D15" s="34" t="s">
        <v>50</v>
      </c>
      <c r="E15" t="s">
        <v>262</v>
      </c>
      <c r="F15">
        <v>4</v>
      </c>
    </row>
    <row r="16" spans="1:6">
      <c r="A16" s="84"/>
      <c r="B16" s="29">
        <v>0.7933596192165232</v>
      </c>
      <c r="C16" t="s">
        <v>5</v>
      </c>
      <c r="D16" s="35" t="s">
        <v>37</v>
      </c>
      <c r="E16" t="s">
        <v>254</v>
      </c>
      <c r="F16">
        <v>15.5</v>
      </c>
    </row>
    <row r="17" spans="1:6">
      <c r="A17" s="84"/>
      <c r="B17" s="29">
        <v>0.80975484447604451</v>
      </c>
      <c r="C17" t="s">
        <v>0</v>
      </c>
      <c r="D17" s="35" t="s">
        <v>64</v>
      </c>
      <c r="E17" t="s">
        <v>258</v>
      </c>
      <c r="F17">
        <v>2.2999999999999998</v>
      </c>
    </row>
    <row r="18" spans="1:6">
      <c r="A18" s="84"/>
      <c r="B18" s="29">
        <v>0.87008667274972229</v>
      </c>
      <c r="C18" s="29" t="s">
        <v>209</v>
      </c>
      <c r="D18" s="35" t="s">
        <v>111</v>
      </c>
      <c r="E18" t="s">
        <v>277</v>
      </c>
      <c r="F18">
        <v>6</v>
      </c>
    </row>
    <row r="19" spans="1:6">
      <c r="A19" s="84"/>
      <c r="B19" s="29">
        <v>0.88281349850863788</v>
      </c>
      <c r="C19" t="s">
        <v>2</v>
      </c>
      <c r="D19" s="35" t="s">
        <v>42</v>
      </c>
      <c r="E19" t="s">
        <v>262</v>
      </c>
      <c r="F19">
        <v>1</v>
      </c>
    </row>
    <row r="20" spans="1:6">
      <c r="A20" s="84"/>
      <c r="B20" s="29">
        <v>0.96397258886453963</v>
      </c>
      <c r="C20" t="s">
        <v>4</v>
      </c>
      <c r="D20" s="35" t="s">
        <v>44</v>
      </c>
      <c r="E20" t="s">
        <v>277</v>
      </c>
      <c r="F20">
        <v>11.5</v>
      </c>
    </row>
    <row r="21" spans="1:6">
      <c r="A21" s="85"/>
      <c r="B21" s="33"/>
      <c r="C21" s="33" t="s">
        <v>3</v>
      </c>
      <c r="D21" s="36" t="s">
        <v>299</v>
      </c>
      <c r="E21" t="s">
        <v>262</v>
      </c>
      <c r="F21">
        <v>2</v>
      </c>
    </row>
    <row r="22" spans="1:6">
      <c r="A22" s="58"/>
      <c r="B22" s="29"/>
    </row>
    <row r="23" spans="1:6">
      <c r="A23" s="29"/>
      <c r="B23" s="29"/>
      <c r="D23" s="1"/>
    </row>
    <row r="24" spans="1:6">
      <c r="A24" s="29"/>
      <c r="B24" s="29"/>
      <c r="D24" s="1"/>
    </row>
    <row r="25" spans="1:6">
      <c r="A25" s="29"/>
      <c r="B25" s="29"/>
      <c r="D25" s="1"/>
    </row>
    <row r="26" spans="1:6">
      <c r="A26" s="29"/>
      <c r="B26" s="29"/>
      <c r="D26" s="1"/>
    </row>
    <row r="27" spans="1:6">
      <c r="A27" s="29"/>
      <c r="B27" s="29"/>
      <c r="D27" s="1"/>
    </row>
    <row r="28" spans="1:6">
      <c r="A28" s="29"/>
      <c r="B28" s="29"/>
      <c r="D28" s="1"/>
    </row>
    <row r="29" spans="1:6">
      <c r="A29" s="29"/>
      <c r="B29" s="29"/>
      <c r="D29" s="1"/>
    </row>
    <row r="30" spans="1:6">
      <c r="A30" s="29"/>
      <c r="B30" s="29"/>
      <c r="D30" s="11"/>
    </row>
    <row r="31" spans="1:6">
      <c r="A31" s="29"/>
      <c r="B31" s="29"/>
      <c r="D31" s="11"/>
    </row>
    <row r="32" spans="1:6">
      <c r="A32" s="29"/>
      <c r="B32" s="29"/>
      <c r="D32" s="1"/>
    </row>
    <row r="33" spans="1:4">
      <c r="A33" s="29"/>
      <c r="B33" s="29"/>
      <c r="D33" s="1"/>
    </row>
    <row r="34" spans="1:4">
      <c r="A34" s="29"/>
      <c r="B34" s="29"/>
      <c r="D34" s="1"/>
    </row>
    <row r="35" spans="1:4">
      <c r="A35" s="29"/>
      <c r="B35" s="29"/>
      <c r="D35" s="1"/>
    </row>
    <row r="36" spans="1:4">
      <c r="A36" s="29"/>
      <c r="B36" s="29"/>
      <c r="D36" s="1"/>
    </row>
    <row r="37" spans="1:4">
      <c r="A37" s="29"/>
      <c r="B37" s="29"/>
      <c r="D37" s="1"/>
    </row>
    <row r="38" spans="1:4">
      <c r="A38" s="29"/>
      <c r="B38" s="29"/>
      <c r="D38" s="1"/>
    </row>
    <row r="39" spans="1:4">
      <c r="A39" s="29"/>
      <c r="B39" s="29"/>
      <c r="D39" s="1"/>
    </row>
    <row r="40" spans="1:4">
      <c r="A40" s="29"/>
      <c r="B40" s="29"/>
      <c r="D40" s="1"/>
    </row>
    <row r="41" spans="1:4">
      <c r="A41" s="29"/>
      <c r="B41" s="29"/>
      <c r="D41" s="1"/>
    </row>
    <row r="42" spans="1:4">
      <c r="A42" s="29"/>
      <c r="B42" s="29"/>
      <c r="D42" s="1"/>
    </row>
  </sheetData>
  <sortState xmlns:xlrd2="http://schemas.microsoft.com/office/spreadsheetml/2017/richdata2" ref="B2:D21">
    <sortCondition ref="B2:B21"/>
  </sortState>
  <mergeCells count="3">
    <mergeCell ref="A2:A7"/>
    <mergeCell ref="A8:A14"/>
    <mergeCell ref="A15:A2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B2863-C6BA-449D-8690-A7A6B8575EE5}">
  <dimension ref="A1:K35"/>
  <sheetViews>
    <sheetView workbookViewId="0">
      <selection activeCell="L20" sqref="L20"/>
    </sheetView>
  </sheetViews>
  <sheetFormatPr defaultRowHeight="15"/>
  <cols>
    <col min="9" max="9" width="14.7109375" customWidth="1"/>
  </cols>
  <sheetData>
    <row r="1" spans="1:6">
      <c r="A1" s="4" t="s">
        <v>300</v>
      </c>
      <c r="B1" s="9">
        <v>45461</v>
      </c>
      <c r="C1" s="9">
        <v>45464</v>
      </c>
      <c r="D1" s="9">
        <v>45465</v>
      </c>
      <c r="E1" s="9">
        <v>45466</v>
      </c>
      <c r="F1" s="9">
        <v>45467</v>
      </c>
    </row>
    <row r="2" spans="1:6">
      <c r="A2" t="s">
        <v>301</v>
      </c>
      <c r="B2">
        <v>1905.25</v>
      </c>
      <c r="C2">
        <v>2250.75</v>
      </c>
      <c r="D2">
        <v>2717.25</v>
      </c>
      <c r="E2">
        <v>2722.25</v>
      </c>
      <c r="F2">
        <v>3035</v>
      </c>
    </row>
    <row r="3" spans="1:6">
      <c r="A3" t="s">
        <v>302</v>
      </c>
      <c r="B3">
        <v>1939.75</v>
      </c>
      <c r="C3">
        <v>2143.5</v>
      </c>
      <c r="D3">
        <v>2495.25</v>
      </c>
      <c r="E3">
        <v>2568.25</v>
      </c>
      <c r="F3">
        <v>2898.5</v>
      </c>
    </row>
    <row r="4" spans="1:6">
      <c r="A4" t="s">
        <v>263</v>
      </c>
      <c r="B4">
        <v>2054.25</v>
      </c>
      <c r="C4">
        <v>2259</v>
      </c>
      <c r="D4">
        <v>2384.75</v>
      </c>
      <c r="E4">
        <v>2648.75</v>
      </c>
      <c r="F4">
        <v>2703.75</v>
      </c>
    </row>
    <row r="5" spans="1:6">
      <c r="A5" t="s">
        <v>254</v>
      </c>
      <c r="B5">
        <v>2158.5</v>
      </c>
      <c r="C5">
        <v>2329.5</v>
      </c>
      <c r="D5">
        <v>2560.25</v>
      </c>
      <c r="E5">
        <v>2560.25</v>
      </c>
      <c r="F5">
        <v>2681.25</v>
      </c>
    </row>
    <row r="6" spans="1:6">
      <c r="A6" t="s">
        <v>277</v>
      </c>
      <c r="B6">
        <v>1877.75</v>
      </c>
      <c r="C6">
        <v>2058.75</v>
      </c>
      <c r="D6">
        <v>2174.75</v>
      </c>
      <c r="E6">
        <v>2330.75</v>
      </c>
      <c r="F6">
        <v>2590.5</v>
      </c>
    </row>
    <row r="7" spans="1:6">
      <c r="A7" t="s">
        <v>303</v>
      </c>
      <c r="B7">
        <v>1581.5</v>
      </c>
      <c r="C7">
        <v>2070.5</v>
      </c>
      <c r="D7">
        <v>2386.75</v>
      </c>
      <c r="E7">
        <v>2433.75</v>
      </c>
      <c r="F7">
        <v>2571.75</v>
      </c>
    </row>
    <row r="8" spans="1:6">
      <c r="A8" t="s">
        <v>264</v>
      </c>
      <c r="B8">
        <v>1528</v>
      </c>
      <c r="C8">
        <v>1739.25</v>
      </c>
      <c r="D8">
        <v>1866.75</v>
      </c>
      <c r="E8">
        <v>2057.25</v>
      </c>
      <c r="F8">
        <v>2426.75</v>
      </c>
    </row>
    <row r="9" spans="1:6">
      <c r="A9" t="s">
        <v>304</v>
      </c>
      <c r="B9">
        <v>1722</v>
      </c>
      <c r="C9">
        <v>2019</v>
      </c>
      <c r="D9">
        <v>2201</v>
      </c>
      <c r="E9">
        <v>2322.75</v>
      </c>
      <c r="F9">
        <v>2407.25</v>
      </c>
    </row>
    <row r="10" spans="1:6">
      <c r="A10" t="s">
        <v>258</v>
      </c>
      <c r="B10">
        <v>1555</v>
      </c>
      <c r="C10">
        <v>2118.75</v>
      </c>
      <c r="D10">
        <v>2239.25</v>
      </c>
      <c r="E10">
        <v>2351.75</v>
      </c>
      <c r="F10">
        <v>2378.75</v>
      </c>
    </row>
    <row r="11" spans="1:6">
      <c r="A11" t="s">
        <v>305</v>
      </c>
      <c r="B11">
        <v>1587</v>
      </c>
      <c r="C11">
        <v>1921</v>
      </c>
      <c r="D11">
        <v>2128</v>
      </c>
      <c r="E11">
        <v>2243</v>
      </c>
      <c r="F11">
        <v>2290</v>
      </c>
    </row>
    <row r="12" spans="1:6">
      <c r="A12" t="s">
        <v>306</v>
      </c>
      <c r="B12">
        <v>1518</v>
      </c>
      <c r="C12">
        <v>1807.5</v>
      </c>
      <c r="D12">
        <v>1952.75</v>
      </c>
      <c r="E12">
        <v>2104.5</v>
      </c>
      <c r="F12">
        <v>2216.5</v>
      </c>
    </row>
    <row r="13" spans="1:6">
      <c r="A13" t="s">
        <v>262</v>
      </c>
      <c r="B13">
        <v>1716</v>
      </c>
      <c r="C13">
        <v>1846</v>
      </c>
      <c r="D13">
        <v>1976.25</v>
      </c>
      <c r="E13">
        <v>2145</v>
      </c>
      <c r="F13">
        <v>2163.75</v>
      </c>
    </row>
    <row r="14" spans="1:6">
      <c r="A14" t="s">
        <v>261</v>
      </c>
      <c r="B14">
        <v>1588.25</v>
      </c>
      <c r="C14">
        <v>1784.75</v>
      </c>
      <c r="D14">
        <v>1820.75</v>
      </c>
      <c r="E14">
        <v>2068</v>
      </c>
      <c r="F14">
        <v>2133</v>
      </c>
    </row>
    <row r="29" spans="10:11">
      <c r="J29" s="29"/>
      <c r="K29" s="1"/>
    </row>
    <row r="30" spans="10:11">
      <c r="J30" s="29"/>
      <c r="K30" s="1"/>
    </row>
    <row r="31" spans="10:11">
      <c r="J31" s="29"/>
      <c r="K31" s="1"/>
    </row>
    <row r="33" spans="10:11">
      <c r="J33" s="42"/>
      <c r="K33" s="42"/>
    </row>
    <row r="34" spans="10:11">
      <c r="J34" s="42"/>
      <c r="K34" s="42"/>
    </row>
    <row r="35" spans="10:11">
      <c r="J35" s="42"/>
      <c r="K35" s="42"/>
    </row>
  </sheetData>
  <sortState xmlns:xlrd2="http://schemas.microsoft.com/office/spreadsheetml/2017/richdata2" ref="A2:F14">
    <sortCondition descending="1" ref="F2:F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Anand Dugad</dc:creator>
  <cp:keywords/>
  <dc:description/>
  <cp:lastModifiedBy>Guest User</cp:lastModifiedBy>
  <cp:revision/>
  <dcterms:created xsi:type="dcterms:W3CDTF">2015-06-05T18:17:20Z</dcterms:created>
  <dcterms:modified xsi:type="dcterms:W3CDTF">2025-03-09T23:31:01Z</dcterms:modified>
  <cp:category/>
  <cp:contentStatus/>
</cp:coreProperties>
</file>